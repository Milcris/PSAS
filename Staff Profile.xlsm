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ejoy\Desktop\"/>
    </mc:Choice>
  </mc:AlternateContent>
  <bookViews>
    <workbookView xWindow="480" yWindow="120" windowWidth="11355" windowHeight="8700" activeTab="3"/>
  </bookViews>
  <sheets>
    <sheet name="2015" sheetId="12" r:id="rId1"/>
    <sheet name="2016" sheetId="13" r:id="rId2"/>
    <sheet name="2017" sheetId="15" r:id="rId3"/>
    <sheet name="Home-2018" sheetId="16" r:id="rId4"/>
    <sheet name="2019" sheetId="17" state="hidden" r:id="rId5"/>
    <sheet name="OLd" sheetId="19" state="hidden" r:id="rId6"/>
    <sheet name="." sheetId="23" r:id="rId7"/>
    <sheet name=".." sheetId="20" r:id="rId8"/>
    <sheet name="Old-03" sheetId="24" state="hidden" r:id="rId9"/>
    <sheet name="Visa &amp;RC" sheetId="21" state="hidden" r:id="rId10"/>
  </sheets>
  <functionGroups builtInGroupCount="18"/>
  <externalReferences>
    <externalReference r:id="rId11"/>
    <externalReference r:id="rId12"/>
    <externalReference r:id="rId13"/>
  </externalReferences>
  <definedNames>
    <definedName name="_xlnm.Print_Area" localSheetId="1">'2016'!$A$1:$AD$52</definedName>
  </definedNames>
  <calcPr calcId="171027" iterate="1"/>
</workbook>
</file>

<file path=xl/calcChain.xml><?xml version="1.0" encoding="utf-8"?>
<calcChain xmlns="http://schemas.openxmlformats.org/spreadsheetml/2006/main">
  <c r="V22" i="16" l="1"/>
  <c r="J44" i="23"/>
  <c r="D37" i="23"/>
  <c r="E37" i="23"/>
  <c r="F37" i="23"/>
  <c r="G37" i="23"/>
  <c r="H37" i="23"/>
  <c r="I37" i="23"/>
  <c r="J37" i="23"/>
  <c r="K12" i="24" l="1"/>
  <c r="K13" i="24"/>
  <c r="K14" i="24"/>
  <c r="K15" i="24"/>
  <c r="K16" i="24"/>
  <c r="K17" i="24"/>
  <c r="K18" i="24"/>
  <c r="K19" i="24"/>
  <c r="K21" i="24"/>
  <c r="K22" i="24"/>
  <c r="K23" i="24"/>
  <c r="K24" i="24"/>
  <c r="K25" i="24"/>
  <c r="K26" i="24"/>
  <c r="K27" i="24"/>
  <c r="K28" i="24"/>
  <c r="K29" i="24"/>
  <c r="K30" i="24"/>
  <c r="K31" i="24"/>
  <c r="K32" i="24"/>
  <c r="K11" i="24"/>
  <c r="D33" i="24"/>
  <c r="J32" i="24"/>
  <c r="J31" i="24"/>
  <c r="J30" i="24"/>
  <c r="J29" i="24"/>
  <c r="J28" i="24"/>
  <c r="J27" i="24"/>
  <c r="J26" i="24"/>
  <c r="J25" i="24"/>
  <c r="J24" i="24"/>
  <c r="W16" i="16" l="1"/>
  <c r="X16" i="16" s="1"/>
  <c r="W15" i="16"/>
  <c r="W14" i="16"/>
  <c r="W13" i="16"/>
  <c r="W12" i="16"/>
  <c r="W11" i="16"/>
  <c r="W10" i="16"/>
  <c r="W9" i="16"/>
  <c r="W8" i="16"/>
  <c r="W7" i="16"/>
  <c r="W6" i="16"/>
  <c r="W5" i="16"/>
  <c r="X15" i="16"/>
  <c r="X7" i="16"/>
  <c r="X6" i="16"/>
  <c r="X12" i="16"/>
  <c r="X8" i="16"/>
  <c r="X14" i="16"/>
  <c r="X13" i="16"/>
  <c r="X5" i="16"/>
  <c r="AA8" i="16" l="1"/>
  <c r="AA14" i="16"/>
  <c r="AA6" i="16"/>
  <c r="AA5" i="16"/>
  <c r="AA15" i="16"/>
  <c r="AA7" i="16"/>
  <c r="AA13" i="16"/>
  <c r="AA12" i="16"/>
  <c r="J23" i="23"/>
  <c r="J24" i="23"/>
  <c r="J25" i="23"/>
  <c r="K25" i="23" s="1"/>
  <c r="J26" i="23"/>
  <c r="J27" i="23"/>
  <c r="K27" i="23" s="1"/>
  <c r="J28" i="23"/>
  <c r="K28" i="23" s="1"/>
  <c r="J29" i="23"/>
  <c r="K29" i="23" s="1"/>
  <c r="J30" i="23"/>
  <c r="K30" i="23" s="1"/>
  <c r="J31" i="23"/>
  <c r="J32" i="23"/>
  <c r="J33" i="23"/>
  <c r="K33" i="23" s="1"/>
  <c r="J34" i="23"/>
  <c r="J35" i="23"/>
  <c r="K35" i="23" s="1"/>
  <c r="J36" i="23"/>
  <c r="K36" i="23" s="1"/>
  <c r="K23" i="23"/>
  <c r="K24" i="23"/>
  <c r="K26" i="23"/>
  <c r="K31" i="23"/>
  <c r="K32" i="23"/>
  <c r="K34" i="23"/>
  <c r="E46" i="23"/>
  <c r="J22" i="23"/>
  <c r="K22" i="23" s="1"/>
  <c r="J21" i="23"/>
  <c r="K21" i="23" s="1"/>
  <c r="J20" i="23"/>
  <c r="K20" i="23" s="1"/>
  <c r="J19" i="23"/>
  <c r="K19" i="23" s="1"/>
  <c r="Q34" i="19"/>
  <c r="R34" i="19" s="1"/>
  <c r="R20" i="19"/>
  <c r="Q20" i="19"/>
  <c r="R36" i="19" l="1"/>
  <c r="R38" i="19" s="1"/>
  <c r="R40" i="19" s="1"/>
  <c r="E33" i="24" l="1"/>
  <c r="F33" i="24"/>
  <c r="G33" i="24"/>
  <c r="H33" i="24"/>
  <c r="I33" i="24"/>
  <c r="J21" i="24" l="1"/>
  <c r="J22" i="24"/>
  <c r="J23" i="24"/>
  <c r="K33" i="24" l="1"/>
  <c r="K39" i="24" s="1"/>
  <c r="J33" i="24"/>
  <c r="K38" i="24"/>
  <c r="K36" i="24" l="1"/>
  <c r="J19" i="24"/>
  <c r="E46" i="24"/>
  <c r="J18" i="24"/>
  <c r="J17" i="24"/>
  <c r="J16" i="24"/>
  <c r="J15" i="24"/>
  <c r="J14" i="24"/>
  <c r="J13" i="24"/>
  <c r="J12" i="24"/>
  <c r="J11" i="24"/>
  <c r="V22" i="15" l="1"/>
  <c r="W16" i="15"/>
  <c r="X16" i="15" s="1"/>
  <c r="W15" i="15"/>
  <c r="W14" i="15"/>
  <c r="W13" i="15"/>
  <c r="W12" i="15"/>
  <c r="W11" i="15"/>
  <c r="W10" i="15"/>
  <c r="W9" i="15"/>
  <c r="W8" i="15"/>
  <c r="W7" i="15"/>
  <c r="W6" i="15"/>
  <c r="W5" i="15"/>
  <c r="X12" i="15"/>
  <c r="X15" i="15"/>
  <c r="X5" i="15"/>
  <c r="X13" i="15"/>
  <c r="X14" i="15"/>
  <c r="X6" i="15"/>
  <c r="X7" i="15"/>
  <c r="X8" i="15"/>
  <c r="AA5" i="15" l="1"/>
  <c r="AA15" i="15"/>
  <c r="AA8" i="15"/>
  <c r="AA14" i="15"/>
  <c r="AA13" i="15"/>
  <c r="AA7" i="15"/>
  <c r="AA6" i="15"/>
  <c r="AA12" i="15"/>
  <c r="J18" i="23"/>
  <c r="J17" i="23"/>
  <c r="K17" i="23" s="1"/>
  <c r="J16" i="23"/>
  <c r="K16" i="23" s="1"/>
  <c r="J15" i="23"/>
  <c r="K15" i="23" s="1"/>
  <c r="J14" i="23"/>
  <c r="K14" i="23" s="1"/>
  <c r="J13" i="23"/>
  <c r="K13" i="23" s="1"/>
  <c r="J12" i="23"/>
  <c r="K12" i="23" s="1"/>
  <c r="J10" i="23"/>
  <c r="E50" i="23"/>
  <c r="AI23" i="13"/>
  <c r="AI12" i="13"/>
  <c r="D31" i="19"/>
  <c r="E31" i="19"/>
  <c r="F31" i="19"/>
  <c r="G31" i="19"/>
  <c r="H31" i="19"/>
  <c r="I31" i="19"/>
  <c r="K10" i="23" l="1"/>
  <c r="K18" i="23"/>
  <c r="V22" i="13"/>
  <c r="W16" i="13"/>
  <c r="X16" i="13" s="1"/>
  <c r="X15" i="13"/>
  <c r="K37" i="23" l="1"/>
  <c r="J42" i="23" s="1"/>
  <c r="J49" i="23" s="1"/>
  <c r="W15" i="13"/>
  <c r="AA15" i="13" s="1"/>
  <c r="X14" i="13"/>
  <c r="W14" i="13" l="1"/>
  <c r="AA14" i="13" s="1"/>
  <c r="X13" i="13"/>
  <c r="W13" i="13" l="1"/>
  <c r="AA13" i="13" s="1"/>
  <c r="X12" i="13"/>
  <c r="W12" i="13" l="1"/>
  <c r="AA12" i="13" s="1"/>
  <c r="W11" i="13"/>
  <c r="W10" i="13"/>
  <c r="W9" i="13"/>
  <c r="W8" i="13"/>
  <c r="X7" i="13"/>
  <c r="W7" i="13" l="1"/>
  <c r="AA7" i="13" s="1"/>
  <c r="X6" i="13"/>
  <c r="W6" i="13" l="1"/>
  <c r="AA6" i="13" s="1"/>
  <c r="X5" i="13"/>
  <c r="W5" i="13" l="1"/>
  <c r="AA5" i="13" s="1"/>
  <c r="K30" i="19" l="1"/>
  <c r="W13" i="12" l="1"/>
  <c r="W14" i="12"/>
  <c r="J29" i="19"/>
  <c r="J28" i="19"/>
  <c r="K28" i="19" s="1"/>
  <c r="J26" i="19"/>
  <c r="K26" i="19" s="1"/>
  <c r="J27" i="19"/>
  <c r="K27" i="19" s="1"/>
  <c r="J25" i="19"/>
  <c r="K25" i="19" s="1"/>
  <c r="X14" i="12"/>
  <c r="X15" i="12"/>
  <c r="X6" i="12"/>
  <c r="X13" i="12"/>
  <c r="K29" i="19" l="1"/>
  <c r="AA15" i="12"/>
  <c r="AA14" i="12"/>
  <c r="E44" i="19"/>
  <c r="K34" i="19"/>
  <c r="J24" i="19"/>
  <c r="K24" i="19" s="1"/>
  <c r="J23" i="19"/>
  <c r="K23" i="19" s="1"/>
  <c r="J22" i="19"/>
  <c r="K22" i="19" s="1"/>
  <c r="J21" i="19"/>
  <c r="K21" i="19" s="1"/>
  <c r="J20" i="19"/>
  <c r="K20" i="19" s="1"/>
  <c r="J19" i="19"/>
  <c r="K19" i="19" s="1"/>
  <c r="J18" i="19"/>
  <c r="K18" i="19" s="1"/>
  <c r="J17" i="19"/>
  <c r="K17" i="19" s="1"/>
  <c r="J16" i="19"/>
  <c r="K16" i="19" s="1"/>
  <c r="J15" i="19"/>
  <c r="K15" i="19" s="1"/>
  <c r="J14" i="19"/>
  <c r="K14" i="19" s="1"/>
  <c r="J13" i="19"/>
  <c r="K13" i="19" s="1"/>
  <c r="J12" i="19"/>
  <c r="J31" i="19" l="1"/>
  <c r="K12" i="19"/>
  <c r="K31" i="19" s="1"/>
  <c r="K37" i="19" s="1"/>
  <c r="K57" i="19" s="1"/>
  <c r="X12" i="12"/>
  <c r="X5" i="12"/>
  <c r="AA13" i="12" l="1"/>
  <c r="W12" i="12"/>
  <c r="AA12" i="12" s="1"/>
  <c r="W11" i="12"/>
  <c r="W10" i="12"/>
  <c r="W9" i="12"/>
  <c r="W8" i="12"/>
  <c r="X7" i="12"/>
  <c r="W7" i="12" l="1"/>
  <c r="AA7" i="12" s="1"/>
  <c r="W6" i="12" l="1"/>
  <c r="AA6" i="12" s="1"/>
  <c r="W5" i="12" l="1"/>
  <c r="AA5" i="12" s="1"/>
  <c r="Z19" i="13" l="1"/>
  <c r="Z20" i="13" s="1"/>
  <c r="Z22" i="13" s="1"/>
  <c r="Z19" i="15" l="1"/>
  <c r="Z20" i="15" s="1"/>
  <c r="Z22" i="15" s="1"/>
  <c r="Z19" i="16" l="1"/>
  <c r="Z20" i="16" s="1"/>
  <c r="Z22" i="16" s="1"/>
</calcChain>
</file>

<file path=xl/comments1.xml><?xml version="1.0" encoding="utf-8"?>
<comments xmlns="http://schemas.openxmlformats.org/spreadsheetml/2006/main">
  <authors>
    <author>Sanjaya Fonseka</author>
  </authors>
  <commentList>
    <comment ref="F49" authorId="0" shapeId="0">
      <text>
        <r>
          <rPr>
            <b/>
            <sz val="9"/>
            <color indexed="81"/>
            <rFont val="Tahoma"/>
            <family val="2"/>
          </rPr>
          <t>Sanjaya Fonseka:</t>
        </r>
        <r>
          <rPr>
            <sz val="9"/>
            <color indexed="81"/>
            <rFont val="Tahoma"/>
            <family val="2"/>
          </rPr>
          <t xml:space="preserve">
without medical</t>
        </r>
      </text>
    </comment>
  </commentList>
</comments>
</file>

<file path=xl/comments2.xml><?xml version="1.0" encoding="utf-8"?>
<comments xmlns="http://schemas.openxmlformats.org/spreadsheetml/2006/main">
  <authors>
    <author>Sanjaya Fonseka</author>
    <author>Bejoy George</author>
  </authors>
  <commentList>
    <comment ref="E5" authorId="0" shapeId="0">
      <text>
        <r>
          <rPr>
            <b/>
            <sz val="9"/>
            <color indexed="81"/>
            <rFont val="Tahoma"/>
            <family val="2"/>
          </rPr>
          <t>Sanjaya Fonseka:</t>
        </r>
        <r>
          <rPr>
            <sz val="9"/>
            <color indexed="81"/>
            <rFont val="Tahoma"/>
            <family val="2"/>
          </rPr>
          <t xml:space="preserve">
Rejoined</t>
        </r>
      </text>
    </comment>
    <comment ref="D6" authorId="0" shapeId="0">
      <text>
        <r>
          <rPr>
            <b/>
            <sz val="9"/>
            <color indexed="81"/>
            <rFont val="Tahoma"/>
            <family val="2"/>
          </rPr>
          <t>Sanjaya Fonseka:</t>
        </r>
        <r>
          <rPr>
            <sz val="9"/>
            <color indexed="81"/>
            <rFont val="Tahoma"/>
            <family val="2"/>
          </rPr>
          <t xml:space="preserve">
with medical</t>
        </r>
      </text>
    </comment>
    <comment ref="E6" authorId="0" shapeId="0">
      <text>
        <r>
          <rPr>
            <b/>
            <sz val="9"/>
            <color indexed="81"/>
            <rFont val="Tahoma"/>
            <family val="2"/>
          </rPr>
          <t>Sanjaya Fonseka:</t>
        </r>
        <r>
          <rPr>
            <sz val="9"/>
            <color indexed="81"/>
            <rFont val="Tahoma"/>
            <family val="2"/>
          </rPr>
          <t xml:space="preserve">
without medical</t>
        </r>
      </text>
    </comment>
    <comment ref="K24" authorId="0" shapeId="0">
      <text>
        <r>
          <rPr>
            <b/>
            <sz val="9"/>
            <color indexed="81"/>
            <rFont val="Tahoma"/>
            <family val="2"/>
          </rPr>
          <t>Sanjaya Fonseka:</t>
        </r>
        <r>
          <rPr>
            <sz val="9"/>
            <color indexed="81"/>
            <rFont val="Tahoma"/>
            <family val="2"/>
          </rPr>
          <t xml:space="preserve">
without medical</t>
        </r>
      </text>
    </comment>
    <comment ref="C40" authorId="1" shapeId="0">
      <text>
        <r>
          <rPr>
            <b/>
            <sz val="9"/>
            <color indexed="81"/>
            <rFont val="Tahoma"/>
            <family val="2"/>
          </rPr>
          <t>Bejoy George:</t>
        </r>
        <r>
          <rPr>
            <sz val="9"/>
            <color indexed="81"/>
            <rFont val="Tahoma"/>
            <family val="2"/>
          </rPr>
          <t xml:space="preserve">
Worked during the Eid Holidays</t>
        </r>
      </text>
    </comment>
  </commentList>
</comments>
</file>

<file path=xl/comments3.xml><?xml version="1.0" encoding="utf-8"?>
<comments xmlns="http://schemas.openxmlformats.org/spreadsheetml/2006/main">
  <authors>
    <author>bejoy</author>
  </authors>
  <commentList>
    <comment ref="E12" authorId="0" shapeId="0">
      <text>
        <r>
          <rPr>
            <b/>
            <sz val="8"/>
            <color indexed="81"/>
            <rFont val="Tahoma"/>
            <family val="2"/>
          </rPr>
          <t>bejoy:</t>
        </r>
        <r>
          <rPr>
            <sz val="8"/>
            <color indexed="81"/>
            <rFont val="Tahoma"/>
            <family val="2"/>
          </rPr>
          <t xml:space="preserve">
As per accounts instruction but not in the attendance record</t>
        </r>
      </text>
    </comment>
    <comment ref="E20" authorId="0" shapeId="0">
      <text>
        <r>
          <rPr>
            <b/>
            <sz val="8"/>
            <color indexed="81"/>
            <rFont val="Tahoma"/>
            <family val="2"/>
          </rPr>
          <t>bejoy:</t>
        </r>
        <r>
          <rPr>
            <sz val="8"/>
            <color indexed="81"/>
            <rFont val="Tahoma"/>
            <family val="2"/>
          </rPr>
          <t xml:space="preserve">
As per accounts instruction</t>
        </r>
      </text>
    </comment>
  </commentList>
</comments>
</file>

<file path=xl/sharedStrings.xml><?xml version="1.0" encoding="utf-8"?>
<sst xmlns="http://schemas.openxmlformats.org/spreadsheetml/2006/main" count="981" uniqueCount="207">
  <si>
    <t>JANUARY</t>
  </si>
  <si>
    <t>FEBRUARY</t>
  </si>
  <si>
    <t>S</t>
  </si>
  <si>
    <t>M</t>
  </si>
  <si>
    <t>T</t>
  </si>
  <si>
    <t>W</t>
  </si>
  <si>
    <t>F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</si>
  <si>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</si>
  <si>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</si>
  <si>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</si>
  <si>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</si>
  <si>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</si>
  <si>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</si>
  <si>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</si>
  <si>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</si>
  <si>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</si>
  <si>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</si>
  <si>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Annual Leave </t>
  </si>
  <si>
    <t xml:space="preserve">Sick Leave </t>
  </si>
  <si>
    <t>No Pay</t>
  </si>
  <si>
    <t>Recommencement of Duty</t>
  </si>
  <si>
    <t>Lieu Leave</t>
  </si>
  <si>
    <t>Emergency Leave</t>
  </si>
  <si>
    <t>Vaccation due</t>
  </si>
  <si>
    <t>Number of Days</t>
  </si>
  <si>
    <t xml:space="preserve">Leave Entitlement as at  </t>
  </si>
  <si>
    <t>Name</t>
  </si>
  <si>
    <t>Upul Shanth Jayasuriya</t>
  </si>
  <si>
    <t xml:space="preserve">Emp No. </t>
  </si>
  <si>
    <t>Date Joined</t>
  </si>
  <si>
    <t>10th Nov, 2007</t>
  </si>
  <si>
    <t>Duty Rejoining</t>
  </si>
  <si>
    <t xml:space="preserve"> </t>
  </si>
  <si>
    <t>Ser</t>
  </si>
  <si>
    <t>Month</t>
  </si>
  <si>
    <t>Days per</t>
  </si>
  <si>
    <t>AL/LL</t>
  </si>
  <si>
    <t>SL</t>
  </si>
  <si>
    <t>EL</t>
  </si>
  <si>
    <t>NPL</t>
  </si>
  <si>
    <t>Other</t>
  </si>
  <si>
    <t xml:space="preserve">Days </t>
  </si>
  <si>
    <t>Earned Leave</t>
  </si>
  <si>
    <t>No.</t>
  </si>
  <si>
    <t>worked</t>
  </si>
  <si>
    <t>Days</t>
  </si>
  <si>
    <t>January</t>
  </si>
  <si>
    <t>February</t>
  </si>
  <si>
    <t>March</t>
  </si>
  <si>
    <t>April</t>
  </si>
  <si>
    <t>Total……………….</t>
  </si>
  <si>
    <t>Less :- Annual leave &amp; local leave</t>
  </si>
  <si>
    <t>Annual  Leave-AL</t>
  </si>
  <si>
    <t>Local Leave-LL</t>
  </si>
  <si>
    <t>Total Earned Leave balance………………………………………………………………</t>
  </si>
  <si>
    <t>Other Leave</t>
  </si>
  <si>
    <t>Sick Leave-SL</t>
  </si>
  <si>
    <t>Emergency Leave-EL</t>
  </si>
  <si>
    <t>No pay Leave-NPL</t>
  </si>
  <si>
    <t>Total  other leave</t>
  </si>
  <si>
    <t>Prepared By</t>
  </si>
  <si>
    <t>Checked  by</t>
  </si>
  <si>
    <t>Employee's Leave details :</t>
  </si>
  <si>
    <t>Halfday</t>
  </si>
  <si>
    <t>Total (days)</t>
  </si>
  <si>
    <t>A.Leave Entitlement :</t>
  </si>
  <si>
    <t>Passport Expiry date :</t>
  </si>
  <si>
    <t>Leave balance as at 31.03.2014</t>
  </si>
  <si>
    <t>May</t>
  </si>
  <si>
    <t>June</t>
  </si>
  <si>
    <t xml:space="preserve">July </t>
  </si>
  <si>
    <t>August</t>
  </si>
  <si>
    <t>September</t>
  </si>
  <si>
    <t>October</t>
  </si>
  <si>
    <t>November</t>
  </si>
  <si>
    <t>December</t>
  </si>
  <si>
    <t>Earned leave (worked at Milcris Ragama Office)</t>
  </si>
  <si>
    <t xml:space="preserve">Worked in Sri Lanka - Ragama </t>
  </si>
  <si>
    <t>Sri Lankan</t>
  </si>
  <si>
    <t>Head Office</t>
  </si>
  <si>
    <t>Name(PP)              :</t>
  </si>
  <si>
    <t xml:space="preserve">Designation            : </t>
  </si>
  <si>
    <t xml:space="preserve">Date of Joining       : </t>
  </si>
  <si>
    <t>Nationality             :</t>
  </si>
  <si>
    <t xml:space="preserve">Working Location    : </t>
  </si>
  <si>
    <t xml:space="preserve">Original Passport     : </t>
  </si>
  <si>
    <t>Air Ticket               :</t>
  </si>
  <si>
    <t xml:space="preserve">Status                    : </t>
  </si>
  <si>
    <t xml:space="preserve"> Visa expiry date    :</t>
  </si>
  <si>
    <t>Passport Number     :</t>
  </si>
  <si>
    <t xml:space="preserve">Contcat number       : </t>
  </si>
  <si>
    <t>DOB                     :</t>
  </si>
  <si>
    <t xml:space="preserve">Medical Insurance    : </t>
  </si>
  <si>
    <t>Employee details:</t>
  </si>
  <si>
    <t>Others</t>
  </si>
  <si>
    <t>29.07.2015</t>
  </si>
  <si>
    <t>07.10.2014</t>
  </si>
  <si>
    <t>09.10.2014</t>
  </si>
  <si>
    <t>10.10.2014</t>
  </si>
  <si>
    <t>3.10.2014</t>
  </si>
  <si>
    <t>Earned leave 4 days (Worked at Milcris Ragama Office)</t>
  </si>
  <si>
    <t>e-mail                   :</t>
  </si>
  <si>
    <t>Accomondation        :</t>
  </si>
  <si>
    <t>Earned Leave as at today</t>
  </si>
  <si>
    <t>days</t>
  </si>
  <si>
    <t>Leave balance as at 31.12.2015</t>
  </si>
  <si>
    <t>Days worked from 01.01.2016 to until now</t>
  </si>
  <si>
    <t xml:space="preserve">Date </t>
  </si>
  <si>
    <t>LPO#</t>
  </si>
  <si>
    <t>Inbound</t>
  </si>
  <si>
    <t>Outbound</t>
  </si>
  <si>
    <t xml:space="preserve">Inbound </t>
  </si>
  <si>
    <t>Route</t>
  </si>
  <si>
    <t>Purpose</t>
  </si>
  <si>
    <t>Date change</t>
  </si>
  <si>
    <t>Airticket details : From November onwards</t>
  </si>
  <si>
    <t>23.01.2016</t>
  </si>
  <si>
    <t>Previous calendar day before leave starts</t>
  </si>
  <si>
    <t>Expected Earned leave as at</t>
  </si>
  <si>
    <t>Juwan Wadu/Sumithra Upeka De Silva</t>
  </si>
  <si>
    <t>Junior Quantity Surveyor</t>
  </si>
  <si>
    <t>27.12.2016</t>
  </si>
  <si>
    <t>Employer</t>
  </si>
  <si>
    <t>12 months</t>
  </si>
  <si>
    <t>Bachelor</t>
  </si>
  <si>
    <t>Reported after last leave : N/A</t>
  </si>
  <si>
    <t>26.12.2017</t>
  </si>
  <si>
    <t>N5605552</t>
  </si>
  <si>
    <t>26.10.2025</t>
  </si>
  <si>
    <t>05.07.1993</t>
  </si>
  <si>
    <t>YES RN-2</t>
  </si>
  <si>
    <t>sumithra@milcris.com</t>
  </si>
  <si>
    <t>New Accomondation - Double Room</t>
  </si>
  <si>
    <t>EMP #:266</t>
  </si>
  <si>
    <t>Sumithra Upeka De Silva</t>
  </si>
  <si>
    <t>27.12.2015</t>
  </si>
  <si>
    <t>IN</t>
  </si>
  <si>
    <t>AL</t>
  </si>
  <si>
    <t>LL</t>
  </si>
  <si>
    <t>DJ</t>
  </si>
  <si>
    <t>January -2016.</t>
  </si>
  <si>
    <t>Sumithra : Project</t>
  </si>
  <si>
    <t>Period</t>
  </si>
  <si>
    <t>P_93:Daleel Petroleum – Delay Analysis Claim</t>
  </si>
  <si>
    <t>P_75:Warehouse Complex in Sohar Free Zone – Suhail Bahwan Automo</t>
  </si>
  <si>
    <t>P_86:MOD – Infantry Battalion in Sohar</t>
  </si>
  <si>
    <t>Lunch Break</t>
  </si>
  <si>
    <t xml:space="preserve">P_95:Oman Air Masterplan </t>
  </si>
  <si>
    <t>P_80:Muscat Central Development</t>
  </si>
  <si>
    <t>February -2016.</t>
  </si>
  <si>
    <t>P_76:Renaissance Museum Project – RCA</t>
  </si>
  <si>
    <t>Work Profile:</t>
  </si>
  <si>
    <t>Amount (OMR)</t>
  </si>
  <si>
    <t>Agent</t>
  </si>
  <si>
    <t>Remarks</t>
  </si>
  <si>
    <t>July</t>
  </si>
  <si>
    <t>Earned</t>
  </si>
  <si>
    <t>Leave</t>
  </si>
  <si>
    <t>17.08.2016</t>
  </si>
  <si>
    <t>131/08-16</t>
  </si>
  <si>
    <t>03.09.2016</t>
  </si>
  <si>
    <t>23.08.2016</t>
  </si>
  <si>
    <t>Replacement of Sasika</t>
  </si>
  <si>
    <t xml:space="preserve">Mezoon </t>
  </si>
  <si>
    <t>MCT/SLL/MCT</t>
  </si>
  <si>
    <t>26.08.2016</t>
  </si>
  <si>
    <t>R231/08-16</t>
  </si>
  <si>
    <t>27.09.2016</t>
  </si>
  <si>
    <t>07.11.2016</t>
  </si>
  <si>
    <t>R246/11-16</t>
  </si>
  <si>
    <t>18.11.2016</t>
  </si>
  <si>
    <t>03.01.2017</t>
  </si>
  <si>
    <t>Entitlement ticket</t>
  </si>
  <si>
    <t>airborne Trv.</t>
  </si>
  <si>
    <t>MCT/CMB/MCT</t>
  </si>
  <si>
    <t>Airticket details :</t>
  </si>
  <si>
    <t>Amount</t>
  </si>
  <si>
    <t>Short Leave</t>
  </si>
  <si>
    <t>Leave Balance C/F 31.03.2016</t>
  </si>
  <si>
    <t>Leave balance as at 31.03.2016</t>
  </si>
  <si>
    <t>Days worked from 01.01.2017 to until now</t>
  </si>
  <si>
    <t xml:space="preserve">December </t>
  </si>
  <si>
    <t>23.12.2017</t>
  </si>
  <si>
    <t>ADD</t>
  </si>
  <si>
    <t>3 Lieu Leave for worked on Eid Holidays 2,3,4 September 2017</t>
  </si>
  <si>
    <t>Dec</t>
  </si>
  <si>
    <t>Jan</t>
  </si>
  <si>
    <t>Feb</t>
  </si>
  <si>
    <t>Mar</t>
  </si>
  <si>
    <t>Apr</t>
  </si>
  <si>
    <t>Jun</t>
  </si>
  <si>
    <t>Jul</t>
  </si>
  <si>
    <t>Aug</t>
  </si>
  <si>
    <t>Sep</t>
  </si>
  <si>
    <t>Oct</t>
  </si>
  <si>
    <t>Nov</t>
  </si>
  <si>
    <t>availed</t>
  </si>
  <si>
    <t>bal</t>
  </si>
  <si>
    <t>Total</t>
  </si>
  <si>
    <t>Annual Leave taken</t>
  </si>
  <si>
    <t>Leave Available</t>
  </si>
  <si>
    <t>Leave application 23/11/2017</t>
  </si>
  <si>
    <t>Leave applied for</t>
  </si>
  <si>
    <t>leave to be retained</t>
  </si>
  <si>
    <t>31.12.2017</t>
  </si>
  <si>
    <t>.</t>
  </si>
  <si>
    <t>Days worked from 01.01.2018 to until now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</si>
</sst>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  <numFmt numFmtId="166" formatCode="dd/mm/yyyy;@"/>
    <numFmt numFmtId="167" formatCode="[h]:mm:ss;@"/>
  </numFmts>
  <fonts count="35" x14ac:knownFonts="1">
    <font>
      <sz val="10"/>
      <name val="Arial"/>
    </font>
    <font>
      <sz val="10"/>
      <name val="Tw Cen MT"/>
      <family val="2"/>
      <scheme val="minor"/>
    </font>
    <font>
      <sz val="8"/>
      <name val="Tw Cen MT"/>
      <family val="2"/>
      <scheme val="minor"/>
    </font>
    <font>
      <b/>
      <sz val="26"/>
      <color theme="4" tint="-0.499984740745262"/>
      <name val="Tw Cen MT"/>
      <family val="2"/>
      <scheme val="major"/>
    </font>
    <font>
      <b/>
      <sz val="10"/>
      <color indexed="9"/>
      <name val="Tw Cen MT"/>
      <family val="2"/>
      <scheme val="major"/>
    </font>
    <font>
      <sz val="11"/>
      <name val="Tw Cen MT"/>
      <family val="2"/>
      <scheme val="minor"/>
    </font>
    <font>
      <sz val="10"/>
      <name val="Arial"/>
      <family val="2"/>
    </font>
    <font>
      <sz val="11"/>
      <color theme="1"/>
      <name val="Book Antiqua"/>
      <family val="1"/>
    </font>
    <font>
      <b/>
      <sz val="11"/>
      <color theme="1"/>
      <name val="Book Antiqua"/>
      <family val="1"/>
    </font>
    <font>
      <b/>
      <sz val="11"/>
      <color theme="1"/>
      <name val="Tahoma"/>
      <family val="2"/>
    </font>
    <font>
      <sz val="11"/>
      <color theme="1"/>
      <name val="Tahoma"/>
      <family val="2"/>
    </font>
    <font>
      <b/>
      <sz val="14"/>
      <color rgb="FFFF0000"/>
      <name val="Tw Cen MT"/>
      <family val="2"/>
      <scheme val="minor"/>
    </font>
    <font>
      <b/>
      <sz val="10"/>
      <name val="Tw Cen MT"/>
      <family val="2"/>
      <scheme val="minor"/>
    </font>
    <font>
      <b/>
      <u/>
      <sz val="12"/>
      <name val="Tw Cen MT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.5"/>
      <name val="Tw Cen MT"/>
      <family val="2"/>
      <scheme val="major"/>
    </font>
    <font>
      <sz val="10"/>
      <name val="Tw Cen MT"/>
      <family val="2"/>
      <scheme val="major"/>
    </font>
    <font>
      <u/>
      <sz val="10"/>
      <color theme="10"/>
      <name val="Arial"/>
      <family val="2"/>
    </font>
    <font>
      <b/>
      <sz val="12"/>
      <name val="Tw Cen MT"/>
      <family val="2"/>
      <scheme val="minor"/>
    </font>
    <font>
      <b/>
      <sz val="10"/>
      <color rgb="FF00B050"/>
      <name val="Tw Cen MT"/>
      <family val="2"/>
      <scheme val="minor"/>
    </font>
    <font>
      <sz val="11"/>
      <color theme="1"/>
      <name val="Locator Regular"/>
      <family val="3"/>
    </font>
    <font>
      <u/>
      <sz val="10"/>
      <color rgb="FF3333FF"/>
      <name val="Arial"/>
      <family val="2"/>
    </font>
    <font>
      <sz val="10"/>
      <color theme="1"/>
      <name val="Tw Cen MT"/>
      <family val="2"/>
      <scheme val="major"/>
    </font>
    <font>
      <sz val="10"/>
      <color theme="1"/>
      <name val="Tw Cen MT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0"/>
      <name val="Tw Cen MT"/>
      <family val="2"/>
      <scheme val="minor"/>
    </font>
    <font>
      <b/>
      <u/>
      <sz val="12"/>
      <color theme="0"/>
      <name val="Tw Cen MT"/>
      <family val="2"/>
      <scheme val="minor"/>
    </font>
    <font>
      <b/>
      <sz val="10"/>
      <color theme="0"/>
      <name val="Tw Cen MT"/>
      <family val="2"/>
      <scheme val="minor"/>
    </font>
    <font>
      <sz val="10"/>
      <color theme="0"/>
      <name val="Arial"/>
      <family val="2"/>
    </font>
    <font>
      <sz val="11"/>
      <color theme="0"/>
      <name val="Locator Regular"/>
      <family val="3"/>
    </font>
    <font>
      <u/>
      <sz val="10"/>
      <color theme="0"/>
      <name val="Arial"/>
      <family val="2"/>
    </font>
    <font>
      <u/>
      <sz val="10"/>
      <name val="Tw Cen MT"/>
      <family val="2"/>
      <scheme val="minor"/>
    </font>
    <font>
      <sz val="10"/>
      <name val="Locator Regular"/>
      <family val="3"/>
    </font>
  </fonts>
  <fills count="2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9"/>
        <bgColor indexed="22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11"/>
      </patternFill>
    </fill>
    <fill>
      <patternFill patternType="solid">
        <fgColor theme="4" tint="0.39994506668294322"/>
        <bgColor indexed="64"/>
      </patternFill>
    </fill>
    <fill>
      <patternFill patternType="solid">
        <fgColor theme="0" tint="-4.9989318521683403E-2"/>
        <bgColor indexed="9"/>
      </patternFill>
    </fill>
    <fill>
      <patternFill patternType="solid">
        <fgColor theme="0" tint="-4.9989318521683403E-2"/>
        <bgColor indexed="22"/>
      </patternFill>
    </fill>
    <fill>
      <patternFill patternType="solid">
        <fgColor rgb="FF00B0F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0B0F0"/>
        <bgColor indexed="9"/>
      </patternFill>
    </fill>
    <fill>
      <patternFill patternType="solid">
        <fgColor rgb="FFFFFF00"/>
        <bgColor indexed="9"/>
      </patternFill>
    </fill>
  </fills>
  <borders count="83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hair">
        <color indexed="42"/>
      </left>
      <right style="hair">
        <color indexed="42"/>
      </right>
      <top style="hair">
        <color indexed="42"/>
      </top>
      <bottom style="hair">
        <color indexed="42"/>
      </bottom>
      <diagonal/>
    </border>
    <border>
      <left/>
      <right style="thin">
        <color indexed="9"/>
      </right>
      <top/>
      <bottom style="thin">
        <color indexed="9"/>
      </bottom>
      <diagonal/>
    </border>
    <border>
      <left/>
      <right style="thin">
        <color indexed="9"/>
      </right>
      <top/>
      <bottom/>
      <diagonal/>
    </border>
    <border>
      <left style="hair">
        <color theme="7" tint="-0.24994659260841701"/>
      </left>
      <right style="hair">
        <color theme="7" tint="-0.24994659260841701"/>
      </right>
      <top style="hair">
        <color theme="7" tint="-0.24994659260841701"/>
      </top>
      <bottom style="hair">
        <color theme="7" tint="-0.24994659260841701"/>
      </bottom>
      <diagonal/>
    </border>
    <border>
      <left style="hair">
        <color theme="7" tint="-0.24994659260841701"/>
      </left>
      <right/>
      <top style="hair">
        <color theme="7" tint="-0.24994659260841701"/>
      </top>
      <bottom style="hair">
        <color theme="7" tint="-0.24994659260841701"/>
      </bottom>
      <diagonal/>
    </border>
    <border>
      <left/>
      <right/>
      <top style="hair">
        <color theme="7" tint="-0.24994659260841701"/>
      </top>
      <bottom style="hair">
        <color theme="7" tint="-0.24994659260841701"/>
      </bottom>
      <diagonal/>
    </border>
    <border>
      <left/>
      <right style="hair">
        <color theme="7" tint="-0.24994659260841701"/>
      </right>
      <top style="hair">
        <color theme="7" tint="-0.24994659260841701"/>
      </top>
      <bottom style="hair">
        <color theme="7" tint="-0.24994659260841701"/>
      </bottom>
      <diagonal/>
    </border>
    <border>
      <left style="hair">
        <color indexed="42"/>
      </left>
      <right/>
      <top style="hair">
        <color indexed="42"/>
      </top>
      <bottom/>
      <diagonal/>
    </border>
    <border>
      <left/>
      <right/>
      <top style="hair">
        <color indexed="42"/>
      </top>
      <bottom/>
      <diagonal/>
    </border>
    <border>
      <left/>
      <right style="hair">
        <color indexed="42"/>
      </right>
      <top style="hair">
        <color indexed="42"/>
      </top>
      <bottom/>
      <diagonal/>
    </border>
    <border>
      <left style="hair">
        <color theme="0"/>
      </left>
      <right style="hair">
        <color theme="0"/>
      </right>
      <top style="hair">
        <color theme="7" tint="-0.24994659260841701"/>
      </top>
      <bottom style="hair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 style="thin">
        <color indexed="9"/>
      </top>
      <bottom/>
      <diagonal/>
    </border>
    <border>
      <left/>
      <right style="thin">
        <color indexed="9"/>
      </right>
      <top style="thin">
        <color indexed="9"/>
      </top>
      <bottom/>
      <diagonal/>
    </border>
    <border>
      <left style="medium">
        <color indexed="64"/>
      </left>
      <right style="thin">
        <color indexed="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/>
      <top/>
      <bottom style="medium">
        <color indexed="64"/>
      </bottom>
      <diagonal/>
    </border>
    <border>
      <left/>
      <right style="thin">
        <color indexed="9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43" fontId="6" fillId="0" borderId="0" applyFont="0" applyFill="0" applyBorder="0" applyAlignment="0" applyProtection="0"/>
    <xf numFmtId="0" fontId="6" fillId="0" borderId="0"/>
    <xf numFmtId="0" fontId="18" fillId="0" borderId="0" applyNumberFormat="0" applyFill="0" applyBorder="0" applyAlignment="0" applyProtection="0">
      <alignment vertical="top"/>
      <protection locked="0"/>
    </xf>
  </cellStyleXfs>
  <cellXfs count="346">
    <xf numFmtId="0" fontId="0" fillId="0" borderId="0" xfId="0"/>
    <xf numFmtId="0" fontId="1" fillId="0" borderId="4" xfId="0" applyFont="1" applyBorder="1"/>
    <xf numFmtId="0" fontId="1" fillId="0" borderId="1" xfId="0" applyFont="1" applyBorder="1"/>
    <xf numFmtId="0" fontId="1" fillId="2" borderId="0" xfId="0" applyFont="1" applyFill="1"/>
    <xf numFmtId="0" fontId="2" fillId="2" borderId="0" xfId="0" applyFont="1" applyFill="1" applyAlignment="1">
      <alignment vertical="center"/>
    </xf>
    <xf numFmtId="0" fontId="1" fillId="0" borderId="5" xfId="0" applyFont="1" applyBorder="1"/>
    <xf numFmtId="0" fontId="2" fillId="10" borderId="10" xfId="0" applyFont="1" applyFill="1" applyBorder="1" applyAlignment="1">
      <alignment horizontal="center" vertical="center"/>
    </xf>
    <xf numFmtId="0" fontId="1" fillId="6" borderId="3" xfId="0" applyFont="1" applyFill="1" applyBorder="1"/>
    <xf numFmtId="0" fontId="2" fillId="2" borderId="10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 wrapText="1"/>
    </xf>
    <xf numFmtId="0" fontId="2" fillId="8" borderId="10" xfId="0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2" fillId="3" borderId="10" xfId="0" applyFont="1" applyFill="1" applyBorder="1" applyAlignment="1">
      <alignment horizontal="center" vertical="center" wrapText="1"/>
    </xf>
    <xf numFmtId="0" fontId="1" fillId="6" borderId="0" xfId="0" applyFont="1" applyFill="1"/>
    <xf numFmtId="0" fontId="2" fillId="2" borderId="0" xfId="0" applyFont="1" applyFill="1" applyBorder="1" applyAlignment="1">
      <alignment horizontal="center" vertical="center" wrapText="1"/>
    </xf>
    <xf numFmtId="0" fontId="2" fillId="3" borderId="0" xfId="0" applyFont="1" applyFill="1" applyBorder="1" applyAlignment="1">
      <alignment horizontal="center" vertical="center" wrapText="1"/>
    </xf>
    <xf numFmtId="0" fontId="2" fillId="5" borderId="0" xfId="0" applyFont="1" applyFill="1" applyBorder="1" applyAlignment="1">
      <alignment horizontal="center" vertical="center" wrapText="1"/>
    </xf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1" fillId="6" borderId="2" xfId="0" applyFont="1" applyFill="1" applyBorder="1"/>
    <xf numFmtId="0" fontId="1" fillId="6" borderId="6" xfId="0" applyFont="1" applyFill="1" applyBorder="1"/>
    <xf numFmtId="0" fontId="1" fillId="0" borderId="6" xfId="0" applyFont="1" applyBorder="1"/>
    <xf numFmtId="0" fontId="1" fillId="6" borderId="8" xfId="0" applyFont="1" applyFill="1" applyBorder="1"/>
    <xf numFmtId="0" fontId="2" fillId="10" borderId="14" xfId="0" applyFont="1" applyFill="1" applyBorder="1" applyAlignment="1">
      <alignment horizontal="center" vertical="center"/>
    </xf>
    <xf numFmtId="0" fontId="2" fillId="10" borderId="15" xfId="0" applyFont="1" applyFill="1" applyBorder="1" applyAlignment="1">
      <alignment horizontal="center" vertical="center"/>
    </xf>
    <xf numFmtId="0" fontId="2" fillId="10" borderId="16" xfId="0" applyFont="1" applyFill="1" applyBorder="1" applyAlignment="1">
      <alignment horizontal="center" vertical="center"/>
    </xf>
    <xf numFmtId="0" fontId="2" fillId="7" borderId="10" xfId="0" applyFont="1" applyFill="1" applyBorder="1" applyAlignment="1">
      <alignment horizontal="center" vertical="center" wrapText="1"/>
    </xf>
    <xf numFmtId="0" fontId="2" fillId="4" borderId="10" xfId="0" applyFont="1" applyFill="1" applyBorder="1" applyAlignment="1">
      <alignment horizontal="center" vertical="center" wrapText="1"/>
    </xf>
    <xf numFmtId="0" fontId="2" fillId="0" borderId="17" xfId="0" applyFont="1" applyFill="1" applyBorder="1" applyAlignment="1">
      <alignment horizontal="center" vertical="center" wrapText="1"/>
    </xf>
    <xf numFmtId="0" fontId="2" fillId="8" borderId="10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 wrapText="1"/>
    </xf>
    <xf numFmtId="0" fontId="2" fillId="0" borderId="10" xfId="0" applyFont="1" applyFill="1" applyBorder="1" applyAlignment="1">
      <alignment horizontal="center" vertical="center" wrapText="1"/>
    </xf>
    <xf numFmtId="0" fontId="1" fillId="8" borderId="10" xfId="0" applyFont="1" applyFill="1" applyBorder="1" applyAlignment="1">
      <alignment horizontal="center" vertic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2" borderId="18" xfId="0" applyFont="1" applyFill="1" applyBorder="1" applyAlignment="1">
      <alignment horizontal="center" vertical="center" wrapText="1"/>
    </xf>
    <xf numFmtId="0" fontId="1" fillId="0" borderId="18" xfId="0" applyFont="1" applyFill="1" applyBorder="1" applyAlignment="1">
      <alignment horizontal="center" vertical="center" wrapText="1"/>
    </xf>
    <xf numFmtId="0" fontId="2" fillId="0" borderId="19" xfId="0" applyFont="1" applyFill="1" applyBorder="1" applyAlignment="1">
      <alignment vertical="center"/>
    </xf>
    <xf numFmtId="0" fontId="2" fillId="0" borderId="20" xfId="0" applyFont="1" applyFill="1" applyBorder="1" applyAlignment="1">
      <alignment vertical="center"/>
    </xf>
    <xf numFmtId="0" fontId="1" fillId="13" borderId="1" xfId="0" applyFont="1" applyFill="1" applyBorder="1"/>
    <xf numFmtId="0" fontId="5" fillId="0" borderId="1" xfId="0" applyFont="1" applyBorder="1"/>
    <xf numFmtId="0" fontId="1" fillId="14" borderId="1" xfId="0" applyFont="1" applyFill="1" applyBorder="1"/>
    <xf numFmtId="0" fontId="1" fillId="0" borderId="1" xfId="0" applyFont="1" applyFill="1" applyBorder="1"/>
    <xf numFmtId="0" fontId="1" fillId="15" borderId="1" xfId="0" applyFont="1" applyFill="1" applyBorder="1"/>
    <xf numFmtId="0" fontId="1" fillId="16" borderId="1" xfId="0" applyFont="1" applyFill="1" applyBorder="1"/>
    <xf numFmtId="0" fontId="1" fillId="17" borderId="1" xfId="0" applyFont="1" applyFill="1" applyBorder="1"/>
    <xf numFmtId="43" fontId="7" fillId="0" borderId="0" xfId="1" applyFont="1"/>
    <xf numFmtId="43" fontId="8" fillId="18" borderId="25" xfId="1" applyFont="1" applyFill="1" applyBorder="1" applyAlignment="1">
      <alignment horizontal="center"/>
    </xf>
    <xf numFmtId="43" fontId="8" fillId="18" borderId="30" xfId="1" applyFont="1" applyFill="1" applyBorder="1" applyAlignment="1">
      <alignment horizontal="center"/>
    </xf>
    <xf numFmtId="0" fontId="7" fillId="0" borderId="33" xfId="1" applyNumberFormat="1" applyFont="1" applyBorder="1"/>
    <xf numFmtId="43" fontId="7" fillId="0" borderId="35" xfId="1" applyFont="1" applyBorder="1"/>
    <xf numFmtId="43" fontId="10" fillId="0" borderId="37" xfId="1" applyFont="1" applyBorder="1"/>
    <xf numFmtId="43" fontId="10" fillId="0" borderId="37" xfId="1" applyFont="1" applyBorder="1" applyAlignment="1">
      <alignment horizontal="center"/>
    </xf>
    <xf numFmtId="43" fontId="10" fillId="0" borderId="38" xfId="1" applyFont="1" applyBorder="1" applyAlignment="1"/>
    <xf numFmtId="43" fontId="10" fillId="0" borderId="42" xfId="1" applyFont="1" applyBorder="1" applyAlignment="1">
      <alignment horizontal="center"/>
    </xf>
    <xf numFmtId="43" fontId="10" fillId="0" borderId="0" xfId="1" applyFont="1" applyBorder="1"/>
    <xf numFmtId="37" fontId="10" fillId="0" borderId="30" xfId="1" applyNumberFormat="1" applyFont="1" applyBorder="1"/>
    <xf numFmtId="164" fontId="10" fillId="0" borderId="30" xfId="1" applyNumberFormat="1" applyFont="1" applyBorder="1"/>
    <xf numFmtId="37" fontId="10" fillId="0" borderId="45" xfId="1" applyNumberFormat="1" applyFont="1" applyBorder="1"/>
    <xf numFmtId="165" fontId="10" fillId="0" borderId="28" xfId="1" applyNumberFormat="1" applyFont="1" applyBorder="1"/>
    <xf numFmtId="43" fontId="7" fillId="0" borderId="48" xfId="1" applyFont="1" applyBorder="1"/>
    <xf numFmtId="43" fontId="7" fillId="0" borderId="50" xfId="1" applyFont="1" applyBorder="1"/>
    <xf numFmtId="43" fontId="7" fillId="0" borderId="52" xfId="1" applyFont="1" applyBorder="1"/>
    <xf numFmtId="0" fontId="11" fillId="0" borderId="1" xfId="0" applyFont="1" applyBorder="1" applyAlignment="1">
      <alignment horizontal="left" vertical="center"/>
    </xf>
    <xf numFmtId="0" fontId="12" fillId="0" borderId="1" xfId="0" applyFont="1" applyBorder="1"/>
    <xf numFmtId="0" fontId="13" fillId="0" borderId="1" xfId="0" applyFont="1" applyFill="1" applyBorder="1"/>
    <xf numFmtId="0" fontId="1" fillId="0" borderId="53" xfId="0" applyFont="1" applyBorder="1"/>
    <xf numFmtId="0" fontId="1" fillId="19" borderId="31" xfId="0" applyFont="1" applyFill="1" applyBorder="1"/>
    <xf numFmtId="0" fontId="1" fillId="19" borderId="31" xfId="0" applyFont="1" applyFill="1" applyBorder="1" applyAlignment="1">
      <alignment horizontal="center"/>
    </xf>
    <xf numFmtId="0" fontId="5" fillId="0" borderId="4" xfId="0" applyFont="1" applyBorder="1"/>
    <xf numFmtId="0" fontId="1" fillId="0" borderId="31" xfId="0" applyFont="1" applyBorder="1" applyAlignment="1">
      <alignment horizontal="center"/>
    </xf>
    <xf numFmtId="0" fontId="1" fillId="7" borderId="0" xfId="0" applyFont="1" applyFill="1" applyBorder="1"/>
    <xf numFmtId="0" fontId="1" fillId="7" borderId="0" xfId="0" applyFont="1" applyFill="1" applyBorder="1" applyAlignment="1">
      <alignment horizontal="center"/>
    </xf>
    <xf numFmtId="0" fontId="1" fillId="0" borderId="31" xfId="0" applyFont="1" applyBorder="1"/>
    <xf numFmtId="0" fontId="13" fillId="0" borderId="1" xfId="0" applyFont="1" applyBorder="1"/>
    <xf numFmtId="14" fontId="12" fillId="0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14" fontId="1" fillId="0" borderId="1" xfId="0" applyNumberFormat="1" applyFont="1" applyFill="1" applyBorder="1"/>
    <xf numFmtId="14" fontId="1" fillId="0" borderId="1" xfId="0" applyNumberFormat="1" applyFont="1" applyBorder="1"/>
    <xf numFmtId="0" fontId="1" fillId="0" borderId="1" xfId="0" applyNumberFormat="1" applyFont="1" applyBorder="1" applyAlignment="1">
      <alignment horizontal="left"/>
    </xf>
    <xf numFmtId="0" fontId="2" fillId="19" borderId="10" xfId="0" applyFont="1" applyFill="1" applyBorder="1" applyAlignment="1">
      <alignment horizontal="center" vertical="center" wrapText="1"/>
    </xf>
    <xf numFmtId="0" fontId="7" fillId="0" borderId="0" xfId="2" applyFont="1"/>
    <xf numFmtId="0" fontId="7" fillId="0" borderId="0" xfId="2" applyFont="1" applyAlignment="1"/>
    <xf numFmtId="0" fontId="8" fillId="0" borderId="0" xfId="2" applyFont="1"/>
    <xf numFmtId="15" fontId="7" fillId="0" borderId="21" xfId="2" applyNumberFormat="1" applyFont="1" applyBorder="1"/>
    <xf numFmtId="0" fontId="7" fillId="0" borderId="22" xfId="2" applyFont="1" applyBorder="1"/>
    <xf numFmtId="0" fontId="7" fillId="0" borderId="23" xfId="2" applyFont="1" applyBorder="1"/>
    <xf numFmtId="0" fontId="7" fillId="0" borderId="0" xfId="2" applyFont="1" applyAlignment="1">
      <alignment horizontal="left"/>
    </xf>
    <xf numFmtId="0" fontId="8" fillId="18" borderId="24" xfId="2" applyFont="1" applyFill="1" applyBorder="1" applyAlignment="1"/>
    <xf numFmtId="0" fontId="8" fillId="18" borderId="24" xfId="2" applyFont="1" applyFill="1" applyBorder="1"/>
    <xf numFmtId="0" fontId="8" fillId="18" borderId="25" xfId="2" applyFont="1" applyFill="1" applyBorder="1" applyAlignment="1">
      <alignment horizontal="center"/>
    </xf>
    <xf numFmtId="0" fontId="8" fillId="18" borderId="26" xfId="2" applyFont="1" applyFill="1" applyBorder="1" applyAlignment="1">
      <alignment horizontal="center"/>
    </xf>
    <xf numFmtId="0" fontId="8" fillId="18" borderId="27" xfId="2" applyFont="1" applyFill="1" applyBorder="1" applyAlignment="1"/>
    <xf numFmtId="0" fontId="8" fillId="18" borderId="27" xfId="2" applyFont="1" applyFill="1" applyBorder="1"/>
    <xf numFmtId="0" fontId="8" fillId="18" borderId="28" xfId="2" applyFont="1" applyFill="1" applyBorder="1" applyAlignment="1">
      <alignment horizontal="center"/>
    </xf>
    <xf numFmtId="0" fontId="8" fillId="18" borderId="29" xfId="2" applyFont="1" applyFill="1" applyBorder="1" applyAlignment="1">
      <alignment horizontal="center"/>
    </xf>
    <xf numFmtId="0" fontId="7" fillId="0" borderId="31" xfId="2" applyFont="1" applyBorder="1" applyAlignment="1"/>
    <xf numFmtId="0" fontId="7" fillId="0" borderId="31" xfId="2" applyFont="1" applyBorder="1"/>
    <xf numFmtId="0" fontId="7" fillId="0" borderId="32" xfId="2" applyFont="1" applyBorder="1"/>
    <xf numFmtId="43" fontId="5" fillId="0" borderId="31" xfId="1" applyFont="1" applyFill="1" applyBorder="1" applyAlignment="1"/>
    <xf numFmtId="0" fontId="7" fillId="0" borderId="31" xfId="2" applyFont="1" applyBorder="1" applyAlignment="1">
      <alignment horizontal="center"/>
    </xf>
    <xf numFmtId="0" fontId="8" fillId="15" borderId="31" xfId="2" applyFont="1" applyFill="1" applyBorder="1" applyAlignment="1">
      <alignment horizontal="center"/>
    </xf>
    <xf numFmtId="43" fontId="5" fillId="0" borderId="31" xfId="1" applyFont="1" applyFill="1" applyBorder="1"/>
    <xf numFmtId="0" fontId="7" fillId="0" borderId="31" xfId="1" applyNumberFormat="1" applyFont="1" applyBorder="1" applyAlignment="1">
      <alignment horizontal="right"/>
    </xf>
    <xf numFmtId="0" fontId="7" fillId="0" borderId="31" xfId="2" applyFont="1" applyBorder="1" applyAlignment="1">
      <alignment horizontal="left"/>
    </xf>
    <xf numFmtId="0" fontId="7" fillId="0" borderId="32" xfId="2" applyFont="1" applyBorder="1" applyAlignment="1"/>
    <xf numFmtId="0" fontId="7" fillId="0" borderId="34" xfId="2" applyFont="1" applyBorder="1"/>
    <xf numFmtId="43" fontId="7" fillId="0" borderId="34" xfId="2" applyNumberFormat="1" applyFont="1" applyBorder="1" applyAlignment="1">
      <alignment horizontal="right"/>
    </xf>
    <xf numFmtId="0" fontId="7" fillId="0" borderId="24" xfId="2" applyFont="1" applyBorder="1" applyAlignment="1"/>
    <xf numFmtId="0" fontId="7" fillId="0" borderId="26" xfId="2" applyFont="1" applyBorder="1"/>
    <xf numFmtId="0" fontId="10" fillId="0" borderId="36" xfId="2" applyFont="1" applyBorder="1" applyAlignment="1"/>
    <xf numFmtId="0" fontId="10" fillId="0" borderId="0" xfId="2" applyFont="1" applyBorder="1"/>
    <xf numFmtId="0" fontId="7" fillId="0" borderId="0" xfId="2" applyFont="1" applyBorder="1"/>
    <xf numFmtId="0" fontId="10" fillId="0" borderId="30" xfId="2" applyFont="1" applyBorder="1"/>
    <xf numFmtId="0" fontId="10" fillId="0" borderId="28" xfId="2" applyFont="1" applyBorder="1"/>
    <xf numFmtId="0" fontId="10" fillId="0" borderId="39" xfId="2" applyFont="1" applyBorder="1" applyAlignment="1"/>
    <xf numFmtId="0" fontId="10" fillId="0" borderId="40" xfId="2" applyFont="1" applyBorder="1"/>
    <xf numFmtId="0" fontId="7" fillId="0" borderId="40" xfId="2" applyFont="1" applyBorder="1"/>
    <xf numFmtId="0" fontId="10" fillId="0" borderId="41" xfId="2" applyFont="1" applyBorder="1"/>
    <xf numFmtId="0" fontId="9" fillId="0" borderId="54" xfId="2" applyFont="1" applyBorder="1" applyAlignment="1"/>
    <xf numFmtId="0" fontId="10" fillId="0" borderId="29" xfId="2" applyFont="1" applyBorder="1"/>
    <xf numFmtId="0" fontId="10" fillId="0" borderId="43" xfId="2" applyFont="1" applyBorder="1"/>
    <xf numFmtId="43" fontId="7" fillId="0" borderId="55" xfId="1" applyFont="1" applyBorder="1"/>
    <xf numFmtId="0" fontId="10" fillId="0" borderId="56" xfId="2" applyFont="1" applyBorder="1" applyAlignment="1"/>
    <xf numFmtId="0" fontId="10" fillId="0" borderId="57" xfId="2" applyFont="1" applyBorder="1" applyAlignment="1"/>
    <xf numFmtId="0" fontId="10" fillId="0" borderId="44" xfId="2" applyFont="1" applyBorder="1"/>
    <xf numFmtId="0" fontId="10" fillId="0" borderId="34" xfId="2" applyFont="1" applyBorder="1"/>
    <xf numFmtId="0" fontId="10" fillId="0" borderId="58" xfId="2" applyFont="1" applyBorder="1" applyAlignment="1"/>
    <xf numFmtId="0" fontId="7" fillId="0" borderId="49" xfId="2" applyFont="1" applyBorder="1" applyAlignment="1"/>
    <xf numFmtId="0" fontId="7" fillId="0" borderId="46" xfId="2" applyFont="1" applyBorder="1" applyAlignment="1"/>
    <xf numFmtId="0" fontId="7" fillId="0" borderId="47" xfId="2" applyFont="1" applyBorder="1"/>
    <xf numFmtId="0" fontId="7" fillId="0" borderId="51" xfId="2" applyFont="1" applyBorder="1" applyAlignment="1"/>
    <xf numFmtId="43" fontId="7" fillId="0" borderId="0" xfId="2" applyNumberFormat="1" applyFont="1"/>
    <xf numFmtId="0" fontId="1" fillId="0" borderId="1" xfId="0" applyFont="1" applyFill="1" applyBorder="1" applyAlignment="1"/>
    <xf numFmtId="0" fontId="16" fillId="0" borderId="0" xfId="0" applyFont="1"/>
    <xf numFmtId="0" fontId="17" fillId="7" borderId="0" xfId="0" applyFont="1" applyFill="1" applyAlignment="1"/>
    <xf numFmtId="0" fontId="17" fillId="7" borderId="1" xfId="0" applyFont="1" applyFill="1" applyBorder="1" applyAlignment="1"/>
    <xf numFmtId="0" fontId="1" fillId="21" borderId="53" xfId="0" applyFont="1" applyFill="1" applyBorder="1" applyAlignment="1"/>
    <xf numFmtId="0" fontId="1" fillId="0" borderId="1" xfId="0" applyFont="1" applyBorder="1" applyAlignment="1"/>
    <xf numFmtId="0" fontId="10" fillId="0" borderId="49" xfId="2" applyFont="1" applyBorder="1" applyAlignment="1"/>
    <xf numFmtId="165" fontId="10" fillId="0" borderId="0" xfId="1" applyNumberFormat="1" applyFont="1" applyBorder="1"/>
    <xf numFmtId="0" fontId="10" fillId="0" borderId="0" xfId="2" applyFont="1" applyBorder="1" applyAlignment="1">
      <alignment horizontal="left"/>
    </xf>
    <xf numFmtId="0" fontId="19" fillId="0" borderId="1" xfId="0" applyFont="1" applyBorder="1" applyAlignment="1">
      <alignment vertical="center"/>
    </xf>
    <xf numFmtId="2" fontId="19" fillId="7" borderId="0" xfId="0" applyNumberFormat="1" applyFont="1" applyFill="1" applyBorder="1" applyAlignment="1">
      <alignment vertical="center"/>
    </xf>
    <xf numFmtId="0" fontId="19" fillId="7" borderId="0" xfId="0" applyFont="1" applyFill="1" applyBorder="1" applyAlignment="1">
      <alignment vertical="center"/>
    </xf>
    <xf numFmtId="0" fontId="19" fillId="7" borderId="62" xfId="0" applyFont="1" applyFill="1" applyBorder="1" applyAlignment="1">
      <alignment horizontal="right" vertical="center"/>
    </xf>
    <xf numFmtId="2" fontId="19" fillId="7" borderId="21" xfId="0" applyNumberFormat="1" applyFont="1" applyFill="1" applyBorder="1" applyAlignment="1">
      <alignment horizontal="right" vertical="center"/>
    </xf>
    <xf numFmtId="0" fontId="19" fillId="7" borderId="23" xfId="0" applyFont="1" applyFill="1" applyBorder="1" applyAlignment="1">
      <alignment horizontal="left" vertical="center"/>
    </xf>
    <xf numFmtId="0" fontId="1" fillId="0" borderId="31" xfId="0" applyFont="1" applyBorder="1" applyAlignment="1">
      <alignment horizontal="center" vertical="center" wrapText="1"/>
    </xf>
    <xf numFmtId="0" fontId="1" fillId="0" borderId="31" xfId="0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1" fillId="0" borderId="31" xfId="0" applyFont="1" applyBorder="1" applyAlignment="1">
      <alignment horizontal="center" vertical="center"/>
    </xf>
    <xf numFmtId="0" fontId="20" fillId="0" borderId="31" xfId="0" applyFont="1" applyBorder="1" applyAlignment="1">
      <alignment horizontal="center" vertical="center"/>
    </xf>
    <xf numFmtId="0" fontId="7" fillId="0" borderId="34" xfId="2" applyFont="1" applyBorder="1" applyAlignment="1">
      <alignment horizontal="center"/>
    </xf>
    <xf numFmtId="0" fontId="7" fillId="0" borderId="34" xfId="1" applyNumberFormat="1" applyFont="1" applyBorder="1" applyAlignment="1">
      <alignment horizontal="right"/>
    </xf>
    <xf numFmtId="0" fontId="10" fillId="0" borderId="0" xfId="2" applyFont="1" applyFill="1" applyBorder="1"/>
    <xf numFmtId="165" fontId="10" fillId="0" borderId="0" xfId="1" applyNumberFormat="1" applyFont="1" applyFill="1" applyBorder="1"/>
    <xf numFmtId="43" fontId="10" fillId="0" borderId="0" xfId="1" applyFont="1" applyFill="1" applyBorder="1"/>
    <xf numFmtId="43" fontId="7" fillId="0" borderId="55" xfId="1" applyFont="1" applyFill="1" applyBorder="1"/>
    <xf numFmtId="14" fontId="1" fillId="7" borderId="22" xfId="0" applyNumberFormat="1" applyFont="1" applyFill="1" applyBorder="1" applyAlignment="1">
      <alignment horizontal="center" vertical="center"/>
    </xf>
    <xf numFmtId="1" fontId="19" fillId="0" borderId="23" xfId="0" applyNumberFormat="1" applyFont="1" applyBorder="1" applyAlignment="1">
      <alignment horizontal="center" vertical="center"/>
    </xf>
    <xf numFmtId="0" fontId="19" fillId="0" borderId="53" xfId="0" applyFont="1" applyBorder="1" applyAlignment="1">
      <alignment vertical="center"/>
    </xf>
    <xf numFmtId="0" fontId="1" fillId="0" borderId="60" xfId="0" applyFont="1" applyBorder="1"/>
    <xf numFmtId="0" fontId="19" fillId="7" borderId="49" xfId="0" applyFont="1" applyFill="1" applyBorder="1" applyAlignment="1">
      <alignment horizontal="right" vertical="center"/>
    </xf>
    <xf numFmtId="0" fontId="19" fillId="7" borderId="55" xfId="0" applyFont="1" applyFill="1" applyBorder="1" applyAlignment="1">
      <alignment horizontal="left" vertical="center"/>
    </xf>
    <xf numFmtId="0" fontId="1" fillId="7" borderId="47" xfId="0" applyFont="1" applyFill="1" applyBorder="1" applyAlignment="1">
      <alignment vertical="center"/>
    </xf>
    <xf numFmtId="0" fontId="1" fillId="7" borderId="0" xfId="0" applyFont="1" applyFill="1" applyBorder="1" applyAlignment="1">
      <alignment vertical="center"/>
    </xf>
    <xf numFmtId="0" fontId="19" fillId="7" borderId="21" xfId="0" applyFont="1" applyFill="1" applyBorder="1" applyAlignment="1">
      <alignment vertical="center"/>
    </xf>
    <xf numFmtId="166" fontId="19" fillId="7" borderId="21" xfId="0" applyNumberFormat="1" applyFont="1" applyFill="1" applyBorder="1" applyAlignment="1">
      <alignment vertical="center"/>
    </xf>
    <xf numFmtId="14" fontId="19" fillId="7" borderId="22" xfId="0" applyNumberFormat="1" applyFont="1" applyFill="1" applyBorder="1" applyAlignment="1">
      <alignment vertical="center"/>
    </xf>
    <xf numFmtId="14" fontId="12" fillId="7" borderId="64" xfId="0" applyNumberFormat="1" applyFont="1" applyFill="1" applyBorder="1" applyAlignment="1">
      <alignment horizontal="center" vertical="center"/>
    </xf>
    <xf numFmtId="0" fontId="1" fillId="15" borderId="23" xfId="0" applyFont="1" applyFill="1" applyBorder="1" applyAlignment="1">
      <alignment vertical="center"/>
    </xf>
    <xf numFmtId="0" fontId="1" fillId="0" borderId="64" xfId="0" applyFont="1" applyBorder="1" applyAlignment="1">
      <alignment vertical="center"/>
    </xf>
    <xf numFmtId="0" fontId="1" fillId="0" borderId="65" xfId="0" applyFont="1" applyBorder="1" applyAlignment="1">
      <alignment vertical="center"/>
    </xf>
    <xf numFmtId="2" fontId="19" fillId="7" borderId="63" xfId="0" applyNumberFormat="1" applyFont="1" applyFill="1" applyBorder="1" applyAlignment="1">
      <alignment horizontal="right" vertical="center"/>
    </xf>
    <xf numFmtId="0" fontId="19" fillId="7" borderId="23" xfId="0" applyFont="1" applyFill="1" applyBorder="1" applyAlignment="1">
      <alignment vertical="center"/>
    </xf>
    <xf numFmtId="0" fontId="7" fillId="0" borderId="31" xfId="2" applyFont="1" applyFill="1" applyBorder="1"/>
    <xf numFmtId="0" fontId="2" fillId="8" borderId="10" xfId="0" applyFont="1" applyFill="1" applyBorder="1" applyAlignment="1">
      <alignment horizontal="center" vertical="center" wrapText="1"/>
    </xf>
    <xf numFmtId="0" fontId="2" fillId="22" borderId="10" xfId="0" applyFont="1" applyFill="1" applyBorder="1" applyAlignment="1">
      <alignment horizontal="center" vertical="center" wrapText="1"/>
    </xf>
    <xf numFmtId="0" fontId="6" fillId="7" borderId="0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14" fontId="1" fillId="0" borderId="53" xfId="0" applyNumberFormat="1" applyFont="1" applyBorder="1"/>
    <xf numFmtId="0" fontId="1" fillId="0" borderId="2" xfId="0" applyFont="1" applyBorder="1" applyAlignment="1">
      <alignment horizontal="left"/>
    </xf>
    <xf numFmtId="0" fontId="22" fillId="0" borderId="1" xfId="3" applyFont="1" applyBorder="1" applyAlignment="1" applyProtection="1"/>
    <xf numFmtId="0" fontId="23" fillId="13" borderId="1" xfId="3" applyFont="1" applyFill="1" applyBorder="1" applyAlignment="1" applyProtection="1">
      <alignment horizontal="center" vertical="center"/>
    </xf>
    <xf numFmtId="0" fontId="23" fillId="14" borderId="1" xfId="3" applyFont="1" applyFill="1" applyBorder="1" applyAlignment="1" applyProtection="1">
      <alignment horizontal="center" vertical="center"/>
    </xf>
    <xf numFmtId="0" fontId="24" fillId="17" borderId="1" xfId="0" applyFont="1" applyFill="1" applyBorder="1" applyAlignment="1">
      <alignment horizontal="center" vertical="center"/>
    </xf>
    <xf numFmtId="0" fontId="23" fillId="23" borderId="10" xfId="3" applyFont="1" applyFill="1" applyBorder="1" applyAlignment="1" applyProtection="1">
      <alignment horizontal="center" vertical="center" wrapText="1"/>
    </xf>
    <xf numFmtId="0" fontId="23" fillId="0" borderId="1" xfId="3" applyFont="1" applyBorder="1" applyAlignment="1" applyProtection="1">
      <alignment horizontal="center" vertical="center"/>
    </xf>
    <xf numFmtId="0" fontId="1" fillId="7" borderId="1" xfId="0" applyFont="1" applyFill="1" applyBorder="1"/>
    <xf numFmtId="0" fontId="0" fillId="16" borderId="71" xfId="0" applyFill="1" applyBorder="1" applyAlignment="1">
      <alignment horizontal="center" vertical="center"/>
    </xf>
    <xf numFmtId="0" fontId="0" fillId="0" borderId="72" xfId="0" applyBorder="1" applyAlignment="1"/>
    <xf numFmtId="0" fontId="0" fillId="16" borderId="73" xfId="0" applyFill="1" applyBorder="1" applyAlignment="1">
      <alignment horizontal="center" vertical="center"/>
    </xf>
    <xf numFmtId="0" fontId="1" fillId="7" borderId="53" xfId="0" applyFont="1" applyFill="1" applyBorder="1"/>
    <xf numFmtId="0" fontId="13" fillId="7" borderId="1" xfId="0" applyFont="1" applyFill="1" applyBorder="1"/>
    <xf numFmtId="0" fontId="0" fillId="0" borderId="28" xfId="0" applyFill="1" applyBorder="1" applyAlignment="1">
      <alignment vertical="center"/>
    </xf>
    <xf numFmtId="167" fontId="0" fillId="0" borderId="28" xfId="0" applyNumberFormat="1" applyFill="1" applyBorder="1" applyAlignment="1">
      <alignment vertical="center"/>
    </xf>
    <xf numFmtId="0" fontId="0" fillId="0" borderId="31" xfId="0" applyFill="1" applyBorder="1" applyAlignment="1">
      <alignment vertical="center"/>
    </xf>
    <xf numFmtId="167" fontId="0" fillId="0" borderId="31" xfId="0" applyNumberFormat="1" applyFill="1" applyBorder="1" applyAlignment="1">
      <alignment vertical="center"/>
    </xf>
    <xf numFmtId="0" fontId="0" fillId="0" borderId="31" xfId="0" applyBorder="1" applyAlignment="1">
      <alignment vertical="center"/>
    </xf>
    <xf numFmtId="167" fontId="0" fillId="0" borderId="31" xfId="0" applyNumberFormat="1" applyBorder="1" applyAlignment="1">
      <alignment vertical="center"/>
    </xf>
    <xf numFmtId="0" fontId="0" fillId="7" borderId="0" xfId="0" applyFill="1" applyAlignment="1">
      <alignment vertical="center"/>
    </xf>
    <xf numFmtId="167" fontId="0" fillId="7" borderId="69" xfId="0" applyNumberFormat="1" applyFill="1" applyBorder="1" applyAlignment="1">
      <alignment vertical="center"/>
    </xf>
    <xf numFmtId="167" fontId="0" fillId="7" borderId="0" xfId="0" applyNumberFormat="1" applyFill="1" applyAlignment="1">
      <alignment vertical="center"/>
    </xf>
    <xf numFmtId="0" fontId="0" fillId="16" borderId="66" xfId="0" applyFill="1" applyBorder="1" applyAlignment="1">
      <alignment vertical="center"/>
    </xf>
    <xf numFmtId="0" fontId="0" fillId="0" borderId="67" xfId="0" applyBorder="1" applyAlignment="1">
      <alignment vertical="center"/>
    </xf>
    <xf numFmtId="0" fontId="0" fillId="16" borderId="68" xfId="0" applyFill="1" applyBorder="1" applyAlignment="1">
      <alignment vertical="center"/>
    </xf>
    <xf numFmtId="0" fontId="0" fillId="0" borderId="0" xfId="0" applyBorder="1" applyAlignment="1">
      <alignment vertical="center"/>
    </xf>
    <xf numFmtId="167" fontId="0" fillId="0" borderId="70" xfId="0" applyNumberFormat="1" applyBorder="1" applyAlignment="1">
      <alignment vertical="center"/>
    </xf>
    <xf numFmtId="0" fontId="1" fillId="0" borderId="21" xfId="0" applyFont="1" applyBorder="1" applyAlignment="1">
      <alignment horizontal="center" vertical="center" wrapText="1"/>
    </xf>
    <xf numFmtId="0" fontId="1" fillId="0" borderId="63" xfId="0" applyFont="1" applyBorder="1" applyAlignment="1">
      <alignment horizontal="center" vertical="center" wrapText="1"/>
    </xf>
    <xf numFmtId="0" fontId="1" fillId="0" borderId="76" xfId="0" applyFont="1" applyBorder="1" applyAlignment="1">
      <alignment horizontal="center" vertical="center" wrapText="1"/>
    </xf>
    <xf numFmtId="0" fontId="1" fillId="0" borderId="72" xfId="0" applyFont="1" applyBorder="1" applyAlignment="1">
      <alignment horizontal="center" vertical="center" wrapText="1"/>
    </xf>
    <xf numFmtId="0" fontId="1" fillId="0" borderId="77" xfId="0" applyFont="1" applyBorder="1" applyAlignment="1">
      <alignment horizontal="center" vertical="center" wrapText="1"/>
    </xf>
    <xf numFmtId="0" fontId="1" fillId="0" borderId="22" xfId="0" applyFont="1" applyBorder="1" applyAlignment="1">
      <alignment horizontal="center" vertical="center" wrapText="1"/>
    </xf>
    <xf numFmtId="2" fontId="1" fillId="0" borderId="21" xfId="0" applyNumberFormat="1" applyFont="1" applyBorder="1" applyAlignment="1">
      <alignment horizontal="center" vertical="center"/>
    </xf>
    <xf numFmtId="0" fontId="1" fillId="0" borderId="73" xfId="0" applyFont="1" applyBorder="1" applyAlignment="1">
      <alignment horizontal="center" vertical="center" wrapText="1"/>
    </xf>
    <xf numFmtId="0" fontId="1" fillId="0" borderId="28" xfId="0" applyFont="1" applyBorder="1" applyAlignment="1">
      <alignment horizontal="center" vertical="center"/>
    </xf>
    <xf numFmtId="0" fontId="1" fillId="0" borderId="27" xfId="0" applyFont="1" applyBorder="1" applyAlignment="1">
      <alignment vertical="center"/>
    </xf>
    <xf numFmtId="0" fontId="1" fillId="0" borderId="32" xfId="0" applyFont="1" applyBorder="1" applyAlignment="1">
      <alignment vertical="center"/>
    </xf>
    <xf numFmtId="43" fontId="7" fillId="0" borderId="34" xfId="1" applyFont="1" applyBorder="1" applyAlignment="1">
      <alignment horizontal="right"/>
    </xf>
    <xf numFmtId="0" fontId="10" fillId="0" borderId="51" xfId="2" applyFont="1" applyBorder="1" applyAlignment="1"/>
    <xf numFmtId="0" fontId="10" fillId="0" borderId="40" xfId="2" applyFont="1" applyBorder="1" applyAlignment="1">
      <alignment horizontal="left"/>
    </xf>
    <xf numFmtId="165" fontId="10" fillId="0" borderId="40" xfId="1" applyNumberFormat="1" applyFont="1" applyBorder="1"/>
    <xf numFmtId="0" fontId="7" fillId="0" borderId="34" xfId="2" applyFont="1" applyFill="1" applyBorder="1" applyAlignment="1">
      <alignment horizontal="center"/>
    </xf>
    <xf numFmtId="0" fontId="9" fillId="0" borderId="78" xfId="2" applyFont="1" applyBorder="1" applyAlignment="1"/>
    <xf numFmtId="0" fontId="10" fillId="0" borderId="79" xfId="2" applyFont="1" applyBorder="1"/>
    <xf numFmtId="0" fontId="10" fillId="0" borderId="80" xfId="2" applyFont="1" applyBorder="1"/>
    <xf numFmtId="0" fontId="10" fillId="0" borderId="47" xfId="2" applyFont="1" applyBorder="1"/>
    <xf numFmtId="43" fontId="10" fillId="0" borderId="48" xfId="1" applyFont="1" applyBorder="1"/>
    <xf numFmtId="43" fontId="10" fillId="0" borderId="55" xfId="1" applyFont="1" applyBorder="1"/>
    <xf numFmtId="43" fontId="10" fillId="0" borderId="52" xfId="1" applyFont="1" applyBorder="1"/>
    <xf numFmtId="0" fontId="2" fillId="24" borderId="10" xfId="0" applyFont="1" applyFill="1" applyBorder="1" applyAlignment="1">
      <alignment horizontal="center" vertical="center" wrapText="1"/>
    </xf>
    <xf numFmtId="0" fontId="2" fillId="13" borderId="10" xfId="0" applyFont="1" applyFill="1" applyBorder="1" applyAlignment="1">
      <alignment horizontal="center" vertical="center" wrapText="1"/>
    </xf>
    <xf numFmtId="0" fontId="8" fillId="18" borderId="0" xfId="2" applyFont="1" applyFill="1" applyBorder="1" applyAlignment="1">
      <alignment horizontal="center"/>
    </xf>
    <xf numFmtId="0" fontId="9" fillId="0" borderId="0" xfId="2" applyFont="1" applyBorder="1" applyAlignment="1">
      <alignment horizontal="left"/>
    </xf>
    <xf numFmtId="43" fontId="10" fillId="0" borderId="0" xfId="1" applyFont="1" applyBorder="1" applyAlignment="1">
      <alignment horizontal="center"/>
    </xf>
    <xf numFmtId="43" fontId="10" fillId="0" borderId="0" xfId="1" applyFont="1" applyBorder="1" applyAlignment="1"/>
    <xf numFmtId="0" fontId="7" fillId="0" borderId="32" xfId="2" applyFont="1" applyBorder="1" applyAlignment="1">
      <alignment horizontal="center"/>
    </xf>
    <xf numFmtId="0" fontId="7" fillId="0" borderId="44" xfId="2" applyFont="1" applyBorder="1" applyAlignment="1">
      <alignment horizontal="center"/>
    </xf>
    <xf numFmtId="0" fontId="8" fillId="18" borderId="31" xfId="2" applyFont="1" applyFill="1" applyBorder="1" applyAlignment="1">
      <alignment horizontal="center"/>
    </xf>
    <xf numFmtId="2" fontId="7" fillId="0" borderId="31" xfId="2" applyNumberFormat="1" applyFont="1" applyBorder="1" applyAlignment="1">
      <alignment horizontal="center"/>
    </xf>
    <xf numFmtId="0" fontId="1" fillId="0" borderId="28" xfId="0" applyFont="1" applyBorder="1" applyAlignment="1">
      <alignment horizontal="center" vertical="center" wrapText="1"/>
    </xf>
    <xf numFmtId="0" fontId="13" fillId="0" borderId="53" xfId="0" applyFont="1" applyBorder="1"/>
    <xf numFmtId="0" fontId="1" fillId="0" borderId="61" xfId="0" applyFont="1" applyBorder="1"/>
    <xf numFmtId="0" fontId="1" fillId="0" borderId="66" xfId="0" applyFont="1" applyBorder="1" applyAlignment="1">
      <alignment horizontal="center" vertical="center" wrapText="1"/>
    </xf>
    <xf numFmtId="0" fontId="1" fillId="0" borderId="67" xfId="0" applyFont="1" applyBorder="1" applyAlignment="1">
      <alignment horizontal="center" vertical="center" wrapText="1"/>
    </xf>
    <xf numFmtId="0" fontId="1" fillId="0" borderId="81" xfId="0" applyFont="1" applyBorder="1" applyAlignment="1">
      <alignment horizontal="center" vertical="center" wrapText="1"/>
    </xf>
    <xf numFmtId="0" fontId="1" fillId="0" borderId="82" xfId="0" applyFont="1" applyBorder="1" applyAlignment="1">
      <alignment horizontal="center" vertical="center" wrapText="1"/>
    </xf>
    <xf numFmtId="0" fontId="1" fillId="0" borderId="33" xfId="0" applyFont="1" applyBorder="1" applyAlignment="1">
      <alignment horizontal="center" vertical="center" wrapText="1"/>
    </xf>
    <xf numFmtId="0" fontId="1" fillId="0" borderId="47" xfId="0" applyFont="1" applyBorder="1" applyAlignment="1">
      <alignment horizontal="center" vertical="center" wrapText="1"/>
    </xf>
    <xf numFmtId="2" fontId="1" fillId="0" borderId="46" xfId="0" applyNumberFormat="1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7" borderId="31" xfId="0" applyFont="1" applyFill="1" applyBorder="1" applyAlignment="1">
      <alignment horizontal="center"/>
    </xf>
    <xf numFmtId="0" fontId="1" fillId="7" borderId="31" xfId="0" applyFont="1" applyFill="1" applyBorder="1" applyAlignment="1">
      <alignment horizontal="center" vertical="center"/>
    </xf>
    <xf numFmtId="0" fontId="1" fillId="7" borderId="31" xfId="0" applyFont="1" applyFill="1" applyBorder="1" applyAlignment="1">
      <alignment horizontal="center" vertical="center" wrapText="1"/>
    </xf>
    <xf numFmtId="0" fontId="1" fillId="7" borderId="31" xfId="0" applyFont="1" applyFill="1" applyBorder="1"/>
    <xf numFmtId="0" fontId="5" fillId="0" borderId="1" xfId="0" applyFont="1" applyBorder="1" applyProtection="1"/>
    <xf numFmtId="0" fontId="5" fillId="0" borderId="4" xfId="0" applyFont="1" applyBorder="1" applyProtection="1"/>
    <xf numFmtId="0" fontId="1" fillId="0" borderId="4" xfId="0" applyFont="1" applyBorder="1" applyProtection="1"/>
    <xf numFmtId="0" fontId="1" fillId="7" borderId="31" xfId="0" applyFont="1" applyFill="1" applyBorder="1" applyAlignment="1" applyProtection="1">
      <alignment horizontal="center"/>
    </xf>
    <xf numFmtId="0" fontId="27" fillId="0" borderId="1" xfId="0" applyFont="1" applyBorder="1"/>
    <xf numFmtId="0" fontId="28" fillId="0" borderId="1" xfId="0" applyFont="1" applyBorder="1"/>
    <xf numFmtId="0" fontId="27" fillId="0" borderId="1" xfId="0" applyFont="1" applyBorder="1" applyAlignment="1">
      <alignment horizontal="center"/>
    </xf>
    <xf numFmtId="0" fontId="27" fillId="0" borderId="1" xfId="0" applyFont="1" applyFill="1" applyBorder="1" applyAlignment="1"/>
    <xf numFmtId="0" fontId="27" fillId="0" borderId="1" xfId="0" applyFont="1" applyBorder="1" applyAlignment="1"/>
    <xf numFmtId="14" fontId="29" fillId="0" borderId="1" xfId="0" applyNumberFormat="1" applyFont="1" applyFill="1" applyBorder="1" applyAlignment="1">
      <alignment horizontal="left"/>
    </xf>
    <xf numFmtId="0" fontId="27" fillId="0" borderId="1" xfId="0" applyFont="1" applyBorder="1" applyAlignment="1">
      <alignment horizontal="left"/>
    </xf>
    <xf numFmtId="14" fontId="27" fillId="0" borderId="1" xfId="0" applyNumberFormat="1" applyFont="1" applyFill="1" applyBorder="1"/>
    <xf numFmtId="0" fontId="27" fillId="0" borderId="53" xfId="0" applyFont="1" applyBorder="1"/>
    <xf numFmtId="0" fontId="27" fillId="0" borderId="4" xfId="0" applyFont="1" applyBorder="1"/>
    <xf numFmtId="0" fontId="30" fillId="7" borderId="0" xfId="0" applyFont="1" applyFill="1" applyBorder="1" applyAlignment="1">
      <alignment horizontal="center"/>
    </xf>
    <xf numFmtId="0" fontId="27" fillId="0" borderId="5" xfId="0" applyFont="1" applyBorder="1"/>
    <xf numFmtId="14" fontId="27" fillId="0" borderId="1" xfId="0" applyNumberFormat="1" applyFont="1" applyBorder="1"/>
    <xf numFmtId="14" fontId="27" fillId="0" borderId="53" xfId="0" applyNumberFormat="1" applyFont="1" applyBorder="1"/>
    <xf numFmtId="0" fontId="27" fillId="0" borderId="2" xfId="0" applyFont="1" applyBorder="1"/>
    <xf numFmtId="0" fontId="27" fillId="0" borderId="2" xfId="0" applyFont="1" applyBorder="1" applyAlignment="1">
      <alignment horizontal="left"/>
    </xf>
    <xf numFmtId="0" fontId="32" fillId="0" borderId="1" xfId="3" applyFont="1" applyBorder="1" applyAlignment="1" applyProtection="1"/>
    <xf numFmtId="0" fontId="27" fillId="0" borderId="1" xfId="0" applyNumberFormat="1" applyFont="1" applyBorder="1" applyAlignment="1">
      <alignment horizontal="left"/>
    </xf>
    <xf numFmtId="0" fontId="10" fillId="0" borderId="36" xfId="0" applyFont="1" applyBorder="1" applyAlignment="1">
      <alignment horizontal="center"/>
    </xf>
    <xf numFmtId="0" fontId="10" fillId="0" borderId="0" xfId="0" applyFont="1" applyBorder="1"/>
    <xf numFmtId="0" fontId="7" fillId="0" borderId="0" xfId="0" applyFont="1" applyBorder="1"/>
    <xf numFmtId="0" fontId="10" fillId="0" borderId="30" xfId="0" applyFont="1" applyBorder="1"/>
    <xf numFmtId="0" fontId="10" fillId="0" borderId="36" xfId="0" applyFont="1" applyBorder="1"/>
    <xf numFmtId="0" fontId="10" fillId="0" borderId="39" xfId="0" applyFont="1" applyBorder="1"/>
    <xf numFmtId="0" fontId="10" fillId="0" borderId="40" xfId="0" applyFont="1" applyBorder="1"/>
    <xf numFmtId="0" fontId="7" fillId="0" borderId="40" xfId="0" applyFont="1" applyBorder="1"/>
    <xf numFmtId="0" fontId="10" fillId="0" borderId="41" xfId="0" applyFont="1" applyBorder="1"/>
    <xf numFmtId="0" fontId="7" fillId="0" borderId="31" xfId="2" applyFont="1" applyBorder="1" applyAlignment="1">
      <alignment horizontal="right"/>
    </xf>
    <xf numFmtId="2" fontId="7" fillId="0" borderId="31" xfId="2" applyNumberFormat="1" applyFont="1" applyBorder="1" applyAlignment="1">
      <alignment horizontal="right"/>
    </xf>
    <xf numFmtId="0" fontId="2" fillId="14" borderId="10" xfId="0" applyFont="1" applyFill="1" applyBorder="1" applyAlignment="1">
      <alignment horizontal="center" vertical="center" wrapText="1"/>
    </xf>
    <xf numFmtId="0" fontId="2" fillId="25" borderId="10" xfId="0" applyFont="1" applyFill="1" applyBorder="1" applyAlignment="1">
      <alignment horizontal="center" vertical="center" wrapText="1"/>
    </xf>
    <xf numFmtId="0" fontId="2" fillId="15" borderId="10" xfId="0" applyFont="1" applyFill="1" applyBorder="1" applyAlignment="1">
      <alignment horizontal="center" vertical="center" wrapText="1"/>
    </xf>
    <xf numFmtId="0" fontId="7" fillId="0" borderId="34" xfId="2" applyFont="1" applyFill="1" applyBorder="1"/>
    <xf numFmtId="43" fontId="7" fillId="0" borderId="31" xfId="1" applyFont="1" applyBorder="1" applyAlignment="1">
      <alignment horizontal="center"/>
    </xf>
    <xf numFmtId="0" fontId="23" fillId="7" borderId="1" xfId="3" applyFont="1" applyFill="1" applyBorder="1" applyAlignment="1" applyProtection="1">
      <alignment horizontal="center" vertical="center"/>
    </xf>
    <xf numFmtId="0" fontId="7" fillId="7" borderId="32" xfId="2" applyFont="1" applyFill="1" applyBorder="1" applyAlignment="1">
      <alignment horizontal="center"/>
    </xf>
    <xf numFmtId="0" fontId="7" fillId="7" borderId="31" xfId="2" applyFont="1" applyFill="1" applyBorder="1" applyAlignment="1">
      <alignment horizontal="left"/>
    </xf>
    <xf numFmtId="0" fontId="7" fillId="7" borderId="34" xfId="2" applyFont="1" applyFill="1" applyBorder="1" applyAlignment="1">
      <alignment horizontal="left"/>
    </xf>
    <xf numFmtId="43" fontId="10" fillId="0" borderId="55" xfId="1" applyFont="1" applyBorder="1" applyAlignment="1">
      <alignment horizontal="center"/>
    </xf>
    <xf numFmtId="43" fontId="9" fillId="0" borderId="55" xfId="1" applyFont="1" applyBorder="1"/>
    <xf numFmtId="0" fontId="33" fillId="0" borderId="1" xfId="0" applyFont="1" applyBorder="1"/>
    <xf numFmtId="0" fontId="34" fillId="0" borderId="0" xfId="0" applyFont="1"/>
    <xf numFmtId="0" fontId="0" fillId="7" borderId="0" xfId="0" applyFill="1"/>
    <xf numFmtId="0" fontId="7" fillId="0" borderId="0" xfId="2" applyFont="1" applyFill="1"/>
    <xf numFmtId="1" fontId="21" fillId="7" borderId="0" xfId="0" applyNumberFormat="1" applyFont="1" applyFill="1" applyBorder="1" applyAlignment="1">
      <alignment horizontal="left"/>
    </xf>
    <xf numFmtId="0" fontId="1" fillId="20" borderId="59" xfId="0" applyFont="1" applyFill="1" applyBorder="1" applyAlignment="1">
      <alignment horizontal="center"/>
    </xf>
    <xf numFmtId="0" fontId="1" fillId="20" borderId="2" xfId="0" applyFont="1" applyFill="1" applyBorder="1" applyAlignment="1">
      <alignment horizontal="center"/>
    </xf>
    <xf numFmtId="0" fontId="5" fillId="0" borderId="60" xfId="0" applyFont="1" applyBorder="1" applyAlignment="1">
      <alignment horizontal="left" vertical="center"/>
    </xf>
    <xf numFmtId="0" fontId="5" fillId="0" borderId="6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/>
    </xf>
    <xf numFmtId="0" fontId="5" fillId="0" borderId="8" xfId="0" applyFont="1" applyBorder="1" applyAlignment="1">
      <alignment horizontal="left" vertical="center"/>
    </xf>
    <xf numFmtId="0" fontId="4" fillId="9" borderId="10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 wrapText="1"/>
    </xf>
    <xf numFmtId="0" fontId="1" fillId="8" borderId="10" xfId="0" applyFont="1" applyFill="1" applyBorder="1" applyAlignment="1">
      <alignment horizontal="center" vertical="center" wrapText="1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4" fillId="9" borderId="7" xfId="0" applyFont="1" applyFill="1" applyBorder="1" applyAlignment="1">
      <alignment horizontal="center" vertical="center"/>
    </xf>
    <xf numFmtId="0" fontId="2" fillId="8" borderId="10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10" xfId="0" applyFont="1" applyFill="1" applyBorder="1" applyAlignment="1">
      <alignment horizontal="center" vertical="center" wrapText="1"/>
    </xf>
    <xf numFmtId="0" fontId="2" fillId="12" borderId="11" xfId="0" applyFont="1" applyFill="1" applyBorder="1" applyAlignment="1">
      <alignment horizontal="center" vertical="center" wrapText="1"/>
    </xf>
    <xf numFmtId="0" fontId="1" fillId="8" borderId="13" xfId="0" applyFont="1" applyFill="1" applyBorder="1" applyAlignment="1">
      <alignment horizontal="center" vertical="center" wrapText="1"/>
    </xf>
    <xf numFmtId="14" fontId="19" fillId="7" borderId="21" xfId="0" applyNumberFormat="1" applyFont="1" applyFill="1" applyBorder="1" applyAlignment="1">
      <alignment horizontal="center" vertical="center"/>
    </xf>
    <xf numFmtId="14" fontId="19" fillId="7" borderId="23" xfId="0" applyNumberFormat="1" applyFont="1" applyFill="1" applyBorder="1" applyAlignment="1">
      <alignment horizontal="center" vertical="center"/>
    </xf>
    <xf numFmtId="0" fontId="1" fillId="8" borderId="11" xfId="0" applyFont="1" applyFill="1" applyBorder="1" applyAlignment="1">
      <alignment horizontal="center" vertical="center" wrapText="1"/>
    </xf>
    <xf numFmtId="0" fontId="1" fillId="8" borderId="12" xfId="0" applyFont="1" applyFill="1" applyBorder="1" applyAlignment="1">
      <alignment horizontal="center" vertical="center" wrapText="1"/>
    </xf>
    <xf numFmtId="1" fontId="31" fillId="7" borderId="0" xfId="0" applyNumberFormat="1" applyFont="1" applyFill="1" applyBorder="1" applyAlignment="1">
      <alignment horizontal="left"/>
    </xf>
    <xf numFmtId="0" fontId="1" fillId="7" borderId="0" xfId="0" applyFont="1" applyFill="1" applyBorder="1" applyAlignment="1">
      <alignment horizontal="left" vertical="center"/>
    </xf>
    <xf numFmtId="17" fontId="0" fillId="7" borderId="0" xfId="0" applyNumberFormat="1" applyFill="1" applyBorder="1" applyAlignment="1">
      <alignment horizontal="center" vertical="center"/>
    </xf>
    <xf numFmtId="17" fontId="0" fillId="7" borderId="74" xfId="0" applyNumberFormat="1" applyFill="1" applyBorder="1" applyAlignment="1">
      <alignment horizontal="center" vertical="center"/>
    </xf>
    <xf numFmtId="17" fontId="0" fillId="7" borderId="40" xfId="0" applyNumberFormat="1" applyFill="1" applyBorder="1" applyAlignment="1">
      <alignment horizontal="center" vertical="center"/>
    </xf>
    <xf numFmtId="17" fontId="0" fillId="7" borderId="75" xfId="0" applyNumberFormat="1" applyFill="1" applyBorder="1" applyAlignment="1">
      <alignment horizontal="center" vertical="center"/>
    </xf>
    <xf numFmtId="0" fontId="1" fillId="0" borderId="32" xfId="0" applyFont="1" applyBorder="1" applyAlignment="1" applyProtection="1">
      <alignment horizontal="center"/>
    </xf>
    <xf numFmtId="0" fontId="1" fillId="0" borderId="34" xfId="0" applyFont="1" applyBorder="1" applyAlignment="1" applyProtection="1">
      <alignment horizontal="center"/>
    </xf>
    <xf numFmtId="0" fontId="2" fillId="11" borderId="11" xfId="0" applyFont="1" applyFill="1" applyBorder="1" applyAlignment="1">
      <alignment horizontal="center" vertical="center" wrapText="1"/>
    </xf>
    <xf numFmtId="0" fontId="9" fillId="0" borderId="21" xfId="2" applyFont="1" applyBorder="1" applyAlignment="1">
      <alignment horizontal="left"/>
    </xf>
    <xf numFmtId="0" fontId="9" fillId="0" borderId="22" xfId="2" applyFont="1" applyBorder="1" applyAlignment="1">
      <alignment horizontal="left"/>
    </xf>
    <xf numFmtId="0" fontId="9" fillId="0" borderId="23" xfId="2" applyFont="1" applyBorder="1" applyAlignment="1">
      <alignment horizontal="left"/>
    </xf>
    <xf numFmtId="0" fontId="9" fillId="0" borderId="21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0" fontId="9" fillId="0" borderId="23" xfId="0" applyFont="1" applyBorder="1" applyAlignment="1">
      <alignment horizontal="left"/>
    </xf>
  </cellXfs>
  <cellStyles count="4">
    <cellStyle name="Comma" xfId="1" builtinId="3"/>
    <cellStyle name="Hyperlink" xfId="3" builtinId="8"/>
    <cellStyle name="Normal" xfId="0" builtinId="0"/>
    <cellStyle name="Normal 2" xfId="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C9DAE9"/>
      <rgbColor rgb="00FFFFFF"/>
      <rgbColor rgb="00FF0000"/>
      <rgbColor rgb="0081FB98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EDF2F7"/>
      <rgbColor rgb="00894F1F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3333FF"/>
      <color rgb="FF66FF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../../../Milcris%20CVs/Juwanwadu%20Sumithra%20Upeka.doc" TargetMode="External"/><Relationship Id="rId3" Type="http://schemas.openxmlformats.org/officeDocument/2006/relationships/image" Target="../media/image4.jpeg"/><Relationship Id="rId7" Type="http://schemas.openxmlformats.org/officeDocument/2006/relationships/image" Target="../media/image6.jpeg"/><Relationship Id="rId2" Type="http://schemas.openxmlformats.org/officeDocument/2006/relationships/hyperlink" Target="../../Staff%20Personnel%20Folders/Sumithra%20Upeka%20De%20Silva/CV.pdf" TargetMode="External"/><Relationship Id="rId1" Type="http://schemas.openxmlformats.org/officeDocument/2006/relationships/image" Target="../media/image3.jpeg"/><Relationship Id="rId6" Type="http://schemas.openxmlformats.org/officeDocument/2006/relationships/hyperlink" Target="../../Staff%20Personnel%20Folders/Sumithra%20Upeka%20De%20Silva/Contract%20Letter.pdf" TargetMode="External"/><Relationship Id="rId5" Type="http://schemas.openxmlformats.org/officeDocument/2006/relationships/image" Target="../media/image5.jpeg"/><Relationship Id="rId4" Type="http://schemas.openxmlformats.org/officeDocument/2006/relationships/hyperlink" Target="../../Staff%20Personnel%20Folders/Sumithra%20Upeka%20De%20Silva/Accomondation%20check%20list.pdf" TargetMode="External"/><Relationship Id="rId9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../../Staff%20Personnel%20Folders/Sumithra%20Upeka%20De%20Silva/CV.pdf" TargetMode="External"/><Relationship Id="rId3" Type="http://schemas.openxmlformats.org/officeDocument/2006/relationships/hyperlink" Target="#'..'!A1"/><Relationship Id="rId7" Type="http://schemas.openxmlformats.org/officeDocument/2006/relationships/hyperlink" Target="../../Staff%20Personnel%20Folders/Sumithra%20Upeka%20De%20Silva/Contract%20Letter.pdf" TargetMode="External"/><Relationship Id="rId2" Type="http://schemas.openxmlformats.org/officeDocument/2006/relationships/hyperlink" Target="../../../../31%20Daily%20Time%20Sheet%202.0/Sumithra" TargetMode="External"/><Relationship Id="rId1" Type="http://schemas.openxmlformats.org/officeDocument/2006/relationships/image" Target="../media/image3.jpeg"/><Relationship Id="rId6" Type="http://schemas.openxmlformats.org/officeDocument/2006/relationships/hyperlink" Target="../../../Milcris%20CVs/Juwanwadu%20Sumithra%20Upeka.doc" TargetMode="External"/><Relationship Id="rId5" Type="http://schemas.openxmlformats.org/officeDocument/2006/relationships/hyperlink" Target="#'.'!A1"/><Relationship Id="rId4" Type="http://schemas.openxmlformats.org/officeDocument/2006/relationships/hyperlink" Target="../../Staff%20Personnel%20Folders/Sumithra%20Upeka%20De%20Silva" TargetMode="Externa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png"/><Relationship Id="rId1" Type="http://schemas.openxmlformats.org/officeDocument/2006/relationships/image" Target="../media/image8.png"/><Relationship Id="rId4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11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123825</xdr:colOff>
      <xdr:row>8</xdr:row>
      <xdr:rowOff>9526</xdr:rowOff>
    </xdr:from>
    <xdr:to>
      <xdr:col>18</xdr:col>
      <xdr:colOff>361950</xdr:colOff>
      <xdr:row>9</xdr:row>
      <xdr:rowOff>38101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086475" y="1562101"/>
          <a:ext cx="238125" cy="20955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18</xdr:col>
      <xdr:colOff>19047</xdr:colOff>
      <xdr:row>14</xdr:row>
      <xdr:rowOff>180974</xdr:rowOff>
    </xdr:from>
    <xdr:to>
      <xdr:col>18</xdr:col>
      <xdr:colOff>438150</xdr:colOff>
      <xdr:row>16</xdr:row>
      <xdr:rowOff>171450</xdr:rowOff>
    </xdr:to>
    <xdr:sp macro="" textlink="">
      <xdr:nvSpPr>
        <xdr:cNvPr id="5" name="Rectangular Callou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rot="10800000" flipV="1">
          <a:off x="5800722" y="2676524"/>
          <a:ext cx="419103" cy="333376"/>
        </a:xfrm>
        <a:prstGeom prst="wedgeRectCallout">
          <a:avLst/>
        </a:prstGeom>
        <a:noFill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27</xdr:col>
      <xdr:colOff>95250</xdr:colOff>
      <xdr:row>3</xdr:row>
      <xdr:rowOff>0</xdr:rowOff>
    </xdr:from>
    <xdr:to>
      <xdr:col>28</xdr:col>
      <xdr:colOff>638175</xdr:colOff>
      <xdr:row>11</xdr:row>
      <xdr:rowOff>142875</xdr:rowOff>
    </xdr:to>
    <xdr:pic>
      <xdr:nvPicPr>
        <xdr:cNvPr id="1033" name="Picture 9">
          <a:extLst>
            <a:ext uri="{FF2B5EF4-FFF2-40B4-BE49-F238E27FC236}">
              <a16:creationId xmlns:a16="http://schemas.microsoft.com/office/drawing/2014/main" id="{00000000-0008-0000-00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0182225" y="647700"/>
          <a:ext cx="1152525" cy="1466850"/>
        </a:xfrm>
        <a:prstGeom prst="rect">
          <a:avLst/>
        </a:prstGeom>
        <a:noFill/>
      </xdr:spPr>
    </xdr:pic>
    <xdr:clientData/>
  </xdr:twoCellAnchor>
  <xdr:twoCellAnchor>
    <xdr:from>
      <xdr:col>9</xdr:col>
      <xdr:colOff>28575</xdr:colOff>
      <xdr:row>50</xdr:row>
      <xdr:rowOff>19050</xdr:rowOff>
    </xdr:from>
    <xdr:to>
      <xdr:col>9</xdr:col>
      <xdr:colOff>266700</xdr:colOff>
      <xdr:row>51</xdr:row>
      <xdr:rowOff>66675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895600" y="8505825"/>
          <a:ext cx="238125" cy="209550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19047</xdr:colOff>
      <xdr:row>14</xdr:row>
      <xdr:rowOff>180974</xdr:rowOff>
    </xdr:from>
    <xdr:to>
      <xdr:col>18</xdr:col>
      <xdr:colOff>561975</xdr:colOff>
      <xdr:row>16</xdr:row>
      <xdr:rowOff>123825</xdr:rowOff>
    </xdr:to>
    <xdr:sp macro="" textlink="">
      <xdr:nvSpPr>
        <xdr:cNvPr id="3" name="Rectangular Callou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0800000" flipV="1">
          <a:off x="5600697" y="2686049"/>
          <a:ext cx="542928" cy="285751"/>
        </a:xfrm>
        <a:prstGeom prst="wedgeRectCallout">
          <a:avLst/>
        </a:prstGeom>
        <a:noFill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18</xdr:col>
      <xdr:colOff>0</xdr:colOff>
      <xdr:row>15</xdr:row>
      <xdr:rowOff>0</xdr:rowOff>
    </xdr:from>
    <xdr:to>
      <xdr:col>18</xdr:col>
      <xdr:colOff>438150</xdr:colOff>
      <xdr:row>16</xdr:row>
      <xdr:rowOff>155576</xdr:rowOff>
    </xdr:to>
    <xdr:sp macro="" textlink="">
      <xdr:nvSpPr>
        <xdr:cNvPr id="8" name="Rectangular Callou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10800000" flipV="1">
          <a:off x="5581650" y="2447925"/>
          <a:ext cx="371475" cy="260351"/>
        </a:xfrm>
        <a:prstGeom prst="wedgeRectCallout">
          <a:avLst/>
        </a:prstGeom>
        <a:noFill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18</xdr:col>
      <xdr:colOff>66675</xdr:colOff>
      <xdr:row>8</xdr:row>
      <xdr:rowOff>19050</xdr:rowOff>
    </xdr:from>
    <xdr:to>
      <xdr:col>18</xdr:col>
      <xdr:colOff>285750</xdr:colOff>
      <xdr:row>9</xdr:row>
      <xdr:rowOff>57150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648325" y="1581150"/>
          <a:ext cx="219075" cy="2190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27</xdr:col>
      <xdr:colOff>152401</xdr:colOff>
      <xdr:row>2</xdr:row>
      <xdr:rowOff>152400</xdr:rowOff>
    </xdr:from>
    <xdr:to>
      <xdr:col>28</xdr:col>
      <xdr:colOff>570821</xdr:colOff>
      <xdr:row>10</xdr:row>
      <xdr:rowOff>104775</xdr:rowOff>
    </xdr:to>
    <xdr:pic>
      <xdr:nvPicPr>
        <xdr:cNvPr id="7" name="Picture 9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505951" y="647700"/>
          <a:ext cx="1085170" cy="1381125"/>
        </a:xfrm>
        <a:prstGeom prst="rect">
          <a:avLst/>
        </a:prstGeom>
        <a:noFill/>
      </xdr:spPr>
    </xdr:pic>
    <xdr:clientData/>
  </xdr:twoCellAnchor>
  <xdr:twoCellAnchor editAs="oneCell">
    <xdr:from>
      <xdr:col>27</xdr:col>
      <xdr:colOff>114300</xdr:colOff>
      <xdr:row>12</xdr:row>
      <xdr:rowOff>9525</xdr:rowOff>
    </xdr:from>
    <xdr:to>
      <xdr:col>29</xdr:col>
      <xdr:colOff>247648</xdr:colOff>
      <xdr:row>14</xdr:row>
      <xdr:rowOff>114300</xdr:rowOff>
    </xdr:to>
    <xdr:pic>
      <xdr:nvPicPr>
        <xdr:cNvPr id="10" name="Picture 10" descr="http://www.studentschillout.com/wp/wp-content/uploads/2015/04/logoCV.jp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9467850" y="2171700"/>
          <a:ext cx="1533523" cy="457200"/>
        </a:xfrm>
        <a:prstGeom prst="rect">
          <a:avLst/>
        </a:prstGeom>
        <a:noFill/>
      </xdr:spPr>
    </xdr:pic>
    <xdr:clientData/>
  </xdr:twoCellAnchor>
  <xdr:twoCellAnchor editAs="oneCell">
    <xdr:from>
      <xdr:col>27</xdr:col>
      <xdr:colOff>200025</xdr:colOff>
      <xdr:row>17</xdr:row>
      <xdr:rowOff>161925</xdr:rowOff>
    </xdr:from>
    <xdr:to>
      <xdr:col>29</xdr:col>
      <xdr:colOff>76200</xdr:colOff>
      <xdr:row>23</xdr:row>
      <xdr:rowOff>133350</xdr:rowOff>
    </xdr:to>
    <xdr:pic>
      <xdr:nvPicPr>
        <xdr:cNvPr id="11" name="Picture 1" descr="Image result for Accommodation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/>
        <a:srcRect/>
        <a:stretch>
          <a:fillRect/>
        </a:stretch>
      </xdr:blipFill>
      <xdr:spPr bwMode="auto">
        <a:xfrm>
          <a:off x="9553575" y="3305175"/>
          <a:ext cx="1276350" cy="1314450"/>
        </a:xfrm>
        <a:prstGeom prst="rect">
          <a:avLst/>
        </a:prstGeom>
        <a:noFill/>
      </xdr:spPr>
    </xdr:pic>
    <xdr:clientData/>
  </xdr:twoCellAnchor>
  <xdr:twoCellAnchor editAs="oneCell">
    <xdr:from>
      <xdr:col>27</xdr:col>
      <xdr:colOff>257175</xdr:colOff>
      <xdr:row>23</xdr:row>
      <xdr:rowOff>104775</xdr:rowOff>
    </xdr:from>
    <xdr:to>
      <xdr:col>29</xdr:col>
      <xdr:colOff>166688</xdr:colOff>
      <xdr:row>29</xdr:row>
      <xdr:rowOff>33338</xdr:rowOff>
    </xdr:to>
    <xdr:pic>
      <xdr:nvPicPr>
        <xdr:cNvPr id="12" name="Picture 11" descr="https://encrypted-tbn2.gstatic.com/images?q=tbn:ANd9GcR-LDwLf9oIkjiviUuHH_WmfihRM29rx1byfM5netxkjboDopdMcw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/>
        <a:srcRect/>
        <a:stretch>
          <a:fillRect/>
        </a:stretch>
      </xdr:blipFill>
      <xdr:spPr bwMode="auto">
        <a:xfrm>
          <a:off x="9610725" y="4591050"/>
          <a:ext cx="1309688" cy="919163"/>
        </a:xfrm>
        <a:prstGeom prst="rect">
          <a:avLst/>
        </a:prstGeom>
        <a:noFill/>
      </xdr:spPr>
    </xdr:pic>
    <xdr:clientData/>
  </xdr:twoCellAnchor>
  <xdr:twoCellAnchor>
    <xdr:from>
      <xdr:col>27</xdr:col>
      <xdr:colOff>190500</xdr:colOff>
      <xdr:row>14</xdr:row>
      <xdr:rowOff>161925</xdr:rowOff>
    </xdr:from>
    <xdr:to>
      <xdr:col>28</xdr:col>
      <xdr:colOff>219075</xdr:colOff>
      <xdr:row>18</xdr:row>
      <xdr:rowOff>57150</xdr:rowOff>
    </xdr:to>
    <xdr:pic>
      <xdr:nvPicPr>
        <xdr:cNvPr id="13" name="Picture 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/>
        <a:srcRect/>
        <a:stretch>
          <a:fillRect/>
        </a:stretch>
      </xdr:blipFill>
      <xdr:spPr bwMode="auto">
        <a:xfrm>
          <a:off x="9544050" y="2781300"/>
          <a:ext cx="6953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3</xdr:row>
      <xdr:rowOff>152400</xdr:rowOff>
    </xdr:from>
    <xdr:to>
      <xdr:col>4</xdr:col>
      <xdr:colOff>276225</xdr:colOff>
      <xdr:row>5</xdr:row>
      <xdr:rowOff>47625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171575" y="838200"/>
          <a:ext cx="219075" cy="23812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18</xdr:col>
      <xdr:colOff>0</xdr:colOff>
      <xdr:row>15</xdr:row>
      <xdr:rowOff>0</xdr:rowOff>
    </xdr:from>
    <xdr:to>
      <xdr:col>18</xdr:col>
      <xdr:colOff>438150</xdr:colOff>
      <xdr:row>16</xdr:row>
      <xdr:rowOff>155576</xdr:rowOff>
    </xdr:to>
    <xdr:sp macro="" textlink="">
      <xdr:nvSpPr>
        <xdr:cNvPr id="4" name="Rectangular Callout 7">
          <a:extLst>
            <a:ext uri="{FF2B5EF4-FFF2-40B4-BE49-F238E27FC236}">
              <a16:creationId xmlns:a16="http://schemas.microsoft.com/office/drawing/2014/main" id="{712A8F38-0D21-489F-A51D-304C9D032329}"/>
            </a:ext>
          </a:extLst>
        </xdr:cNvPr>
        <xdr:cNvSpPr/>
      </xdr:nvSpPr>
      <xdr:spPr>
        <a:xfrm rot="10800000" flipV="1">
          <a:off x="5581650" y="2809875"/>
          <a:ext cx="371475" cy="317501"/>
        </a:xfrm>
        <a:prstGeom prst="wedgeRectCallout">
          <a:avLst/>
        </a:prstGeom>
        <a:noFill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18</xdr:col>
      <xdr:colOff>66675</xdr:colOff>
      <xdr:row>8</xdr:row>
      <xdr:rowOff>0</xdr:rowOff>
    </xdr:from>
    <xdr:to>
      <xdr:col>18</xdr:col>
      <xdr:colOff>285750</xdr:colOff>
      <xdr:row>9</xdr:row>
      <xdr:rowOff>38100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1D1626FE-01D4-4020-BDE0-0A0818503FA3}"/>
            </a:ext>
          </a:extLst>
        </xdr:cNvPr>
        <xdr:cNvSpPr/>
      </xdr:nvSpPr>
      <xdr:spPr>
        <a:xfrm>
          <a:off x="5619750" y="1571625"/>
          <a:ext cx="219075" cy="2190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15</xdr:row>
      <xdr:rowOff>0</xdr:rowOff>
    </xdr:from>
    <xdr:to>
      <xdr:col>18</xdr:col>
      <xdr:colOff>438150</xdr:colOff>
      <xdr:row>16</xdr:row>
      <xdr:rowOff>155576</xdr:rowOff>
    </xdr:to>
    <xdr:sp macro="" textlink="">
      <xdr:nvSpPr>
        <xdr:cNvPr id="2" name="Rectangular Callout 7">
          <a:extLst>
            <a:ext uri="{FF2B5EF4-FFF2-40B4-BE49-F238E27FC236}">
              <a16:creationId xmlns:a16="http://schemas.microsoft.com/office/drawing/2014/main" id="{2621FF98-D230-4E28-99BD-E506CC6A1B3C}"/>
            </a:ext>
          </a:extLst>
        </xdr:cNvPr>
        <xdr:cNvSpPr/>
      </xdr:nvSpPr>
      <xdr:spPr>
        <a:xfrm rot="10800000" flipV="1">
          <a:off x="5543550" y="2724150"/>
          <a:ext cx="342900" cy="317501"/>
        </a:xfrm>
        <a:prstGeom prst="wedgeRectCallout">
          <a:avLst/>
        </a:prstGeom>
        <a:noFill/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18</xdr:col>
      <xdr:colOff>95250</xdr:colOff>
      <xdr:row>8</xdr:row>
      <xdr:rowOff>9525</xdr:rowOff>
    </xdr:from>
    <xdr:to>
      <xdr:col>18</xdr:col>
      <xdr:colOff>314325</xdr:colOff>
      <xdr:row>9</xdr:row>
      <xdr:rowOff>47625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2C055E8E-6A4E-4C48-9545-D0FE2839C6B2}"/>
            </a:ext>
          </a:extLst>
        </xdr:cNvPr>
        <xdr:cNvSpPr/>
      </xdr:nvSpPr>
      <xdr:spPr>
        <a:xfrm>
          <a:off x="5648325" y="1581150"/>
          <a:ext cx="219075" cy="2190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 editAs="oneCell">
    <xdr:from>
      <xdr:col>27</xdr:col>
      <xdr:colOff>152401</xdr:colOff>
      <xdr:row>2</xdr:row>
      <xdr:rowOff>152401</xdr:rowOff>
    </xdr:from>
    <xdr:to>
      <xdr:col>29</xdr:col>
      <xdr:colOff>18371</xdr:colOff>
      <xdr:row>11</xdr:row>
      <xdr:rowOff>95250</xdr:rowOff>
    </xdr:to>
    <xdr:pic>
      <xdr:nvPicPr>
        <xdr:cNvPr id="4" name="Picture 9">
          <a:extLst>
            <a:ext uri="{FF2B5EF4-FFF2-40B4-BE49-F238E27FC236}">
              <a16:creationId xmlns:a16="http://schemas.microsoft.com/office/drawing/2014/main" id="{A8479D32-5352-46AD-8F3A-0A951031E74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9172576" y="676276"/>
          <a:ext cx="1085170" cy="142874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>
    <xdr:from>
      <xdr:col>27</xdr:col>
      <xdr:colOff>200025</xdr:colOff>
      <xdr:row>22</xdr:row>
      <xdr:rowOff>57150</xdr:rowOff>
    </xdr:from>
    <xdr:to>
      <xdr:col>29</xdr:col>
      <xdr:colOff>19050</xdr:colOff>
      <xdr:row>23</xdr:row>
      <xdr:rowOff>133350</xdr:rowOff>
    </xdr:to>
    <xdr:sp macro="" textlink="">
      <xdr:nvSpPr>
        <xdr:cNvPr id="19" name="Rounded Rectangl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B00B2952-04F7-4846-8368-785B4BA2FC8A}"/>
            </a:ext>
          </a:extLst>
        </xdr:cNvPr>
        <xdr:cNvSpPr/>
      </xdr:nvSpPr>
      <xdr:spPr>
        <a:xfrm>
          <a:off x="9220200" y="4210050"/>
          <a:ext cx="1038225" cy="238125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Time Sheet</a:t>
          </a:r>
        </a:p>
      </xdr:txBody>
    </xdr:sp>
    <xdr:clientData/>
  </xdr:twoCellAnchor>
  <xdr:twoCellAnchor>
    <xdr:from>
      <xdr:col>27</xdr:col>
      <xdr:colOff>209550</xdr:colOff>
      <xdr:row>16</xdr:row>
      <xdr:rowOff>161925</xdr:rowOff>
    </xdr:from>
    <xdr:to>
      <xdr:col>29</xdr:col>
      <xdr:colOff>19050</xdr:colOff>
      <xdr:row>18</xdr:row>
      <xdr:rowOff>123825</xdr:rowOff>
    </xdr:to>
    <xdr:sp macro="" textlink="">
      <xdr:nvSpPr>
        <xdr:cNvPr id="20" name="Rounded Rectangle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BBD712D-9FBB-4AEC-B7CB-7FBE4505EB75}"/>
            </a:ext>
          </a:extLst>
        </xdr:cNvPr>
        <xdr:cNvSpPr/>
      </xdr:nvSpPr>
      <xdr:spPr>
        <a:xfrm>
          <a:off x="9229725" y="3095625"/>
          <a:ext cx="1028700" cy="3429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Passport</a:t>
          </a:r>
          <a:r>
            <a:rPr lang="en-US" sz="1100" baseline="0"/>
            <a:t> &amp;Visa</a:t>
          </a:r>
          <a:endParaRPr lang="en-US" sz="1100"/>
        </a:p>
      </xdr:txBody>
    </xdr:sp>
    <xdr:clientData/>
  </xdr:twoCellAnchor>
  <xdr:twoCellAnchor>
    <xdr:from>
      <xdr:col>27</xdr:col>
      <xdr:colOff>209550</xdr:colOff>
      <xdr:row>14</xdr:row>
      <xdr:rowOff>38100</xdr:rowOff>
    </xdr:from>
    <xdr:to>
      <xdr:col>28</xdr:col>
      <xdr:colOff>533400</xdr:colOff>
      <xdr:row>15</xdr:row>
      <xdr:rowOff>142875</xdr:rowOff>
    </xdr:to>
    <xdr:sp macro="" textlink="">
      <xdr:nvSpPr>
        <xdr:cNvPr id="21" name="Rounded Rectangl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26A2CBC-9F42-4977-8B7D-98C2A23E22AA}"/>
            </a:ext>
          </a:extLst>
        </xdr:cNvPr>
        <xdr:cNvSpPr/>
      </xdr:nvSpPr>
      <xdr:spPr>
        <a:xfrm>
          <a:off x="9315450" y="2571750"/>
          <a:ext cx="933450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Personal</a:t>
          </a:r>
          <a:r>
            <a:rPr lang="en-US" sz="1100" baseline="0"/>
            <a:t> File</a:t>
          </a:r>
          <a:endParaRPr lang="en-US" sz="1100"/>
        </a:p>
      </xdr:txBody>
    </xdr:sp>
    <xdr:clientData/>
  </xdr:twoCellAnchor>
  <xdr:twoCellAnchor>
    <xdr:from>
      <xdr:col>27</xdr:col>
      <xdr:colOff>190500</xdr:colOff>
      <xdr:row>19</xdr:row>
      <xdr:rowOff>142875</xdr:rowOff>
    </xdr:from>
    <xdr:to>
      <xdr:col>28</xdr:col>
      <xdr:colOff>590550</xdr:colOff>
      <xdr:row>21</xdr:row>
      <xdr:rowOff>28574</xdr:rowOff>
    </xdr:to>
    <xdr:sp macro="" textlink="">
      <xdr:nvSpPr>
        <xdr:cNvPr id="22" name="Rounded Rectangle 3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2D249BF-2CF9-4183-BBDC-2A896696BF2B}"/>
            </a:ext>
          </a:extLst>
        </xdr:cNvPr>
        <xdr:cNvSpPr/>
      </xdr:nvSpPr>
      <xdr:spPr>
        <a:xfrm>
          <a:off x="9210675" y="3667125"/>
          <a:ext cx="1009650" cy="304799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Leave Calculation</a:t>
          </a:r>
        </a:p>
      </xdr:txBody>
    </xdr:sp>
    <xdr:clientData/>
  </xdr:twoCellAnchor>
  <xdr:twoCellAnchor>
    <xdr:from>
      <xdr:col>27</xdr:col>
      <xdr:colOff>161925</xdr:colOff>
      <xdr:row>25</xdr:row>
      <xdr:rowOff>47625</xdr:rowOff>
    </xdr:from>
    <xdr:to>
      <xdr:col>28</xdr:col>
      <xdr:colOff>590550</xdr:colOff>
      <xdr:row>26</xdr:row>
      <xdr:rowOff>152400</xdr:rowOff>
    </xdr:to>
    <xdr:sp macro="" textlink="">
      <xdr:nvSpPr>
        <xdr:cNvPr id="23" name="Rounded Rectangle 2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4ACA1D1-00CF-4407-A0C0-F81F981855AF}"/>
            </a:ext>
          </a:extLst>
        </xdr:cNvPr>
        <xdr:cNvSpPr/>
      </xdr:nvSpPr>
      <xdr:spPr>
        <a:xfrm>
          <a:off x="9182100" y="4724400"/>
          <a:ext cx="1038225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Milcri CV</a:t>
          </a:r>
        </a:p>
      </xdr:txBody>
    </xdr:sp>
    <xdr:clientData/>
  </xdr:twoCellAnchor>
  <xdr:twoCellAnchor>
    <xdr:from>
      <xdr:col>27</xdr:col>
      <xdr:colOff>180975</xdr:colOff>
      <xdr:row>30</xdr:row>
      <xdr:rowOff>123825</xdr:rowOff>
    </xdr:from>
    <xdr:to>
      <xdr:col>29</xdr:col>
      <xdr:colOff>0</xdr:colOff>
      <xdr:row>32</xdr:row>
      <xdr:rowOff>66675</xdr:rowOff>
    </xdr:to>
    <xdr:sp macro="" textlink="">
      <xdr:nvSpPr>
        <xdr:cNvPr id="24" name="Rounded Rectangle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569E990-2157-4431-AC0A-B3A98D4CE73B}"/>
            </a:ext>
          </a:extLst>
        </xdr:cNvPr>
        <xdr:cNvSpPr/>
      </xdr:nvSpPr>
      <xdr:spPr>
        <a:xfrm>
          <a:off x="9201150" y="5610225"/>
          <a:ext cx="1038225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Contract</a:t>
          </a:r>
          <a:r>
            <a:rPr lang="en-US" sz="1100" baseline="0"/>
            <a:t> Doc</a:t>
          </a:r>
          <a:endParaRPr lang="en-US" sz="1100"/>
        </a:p>
      </xdr:txBody>
    </xdr:sp>
    <xdr:clientData/>
  </xdr:twoCellAnchor>
  <xdr:twoCellAnchor>
    <xdr:from>
      <xdr:col>27</xdr:col>
      <xdr:colOff>180975</xdr:colOff>
      <xdr:row>28</xdr:row>
      <xdr:rowOff>0</xdr:rowOff>
    </xdr:from>
    <xdr:to>
      <xdr:col>29</xdr:col>
      <xdr:colOff>0</xdr:colOff>
      <xdr:row>29</xdr:row>
      <xdr:rowOff>104775</xdr:rowOff>
    </xdr:to>
    <xdr:sp macro="" textlink="">
      <xdr:nvSpPr>
        <xdr:cNvPr id="26" name="Rounded Rectangle 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47FB662-C2A2-49C1-9AAB-0D1ADC5CEBFA}"/>
            </a:ext>
          </a:extLst>
        </xdr:cNvPr>
        <xdr:cNvSpPr/>
      </xdr:nvSpPr>
      <xdr:spPr>
        <a:xfrm>
          <a:off x="9201150" y="5162550"/>
          <a:ext cx="1038225" cy="266700"/>
        </a:xfrm>
        <a:prstGeom prst="round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en-US" sz="1100"/>
            <a:t>General</a:t>
          </a:r>
          <a:r>
            <a:rPr lang="en-US" sz="1100" baseline="0"/>
            <a:t> </a:t>
          </a:r>
          <a:r>
            <a:rPr lang="en-US" sz="1100"/>
            <a:t>CV</a:t>
          </a:r>
        </a:p>
      </xdr:txBody>
    </xdr:sp>
    <xdr:clientData/>
  </xdr:twoCellAnchor>
  <xdr:twoCellAnchor>
    <xdr:from>
      <xdr:col>3</xdr:col>
      <xdr:colOff>47625</xdr:colOff>
      <xdr:row>7</xdr:row>
      <xdr:rowOff>9525</xdr:rowOff>
    </xdr:from>
    <xdr:to>
      <xdr:col>3</xdr:col>
      <xdr:colOff>266700</xdr:colOff>
      <xdr:row>8</xdr:row>
      <xdr:rowOff>47625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13F574D2-05FE-40DE-958A-F43272348313}"/>
            </a:ext>
          </a:extLst>
        </xdr:cNvPr>
        <xdr:cNvSpPr/>
      </xdr:nvSpPr>
      <xdr:spPr>
        <a:xfrm>
          <a:off x="819150" y="1400175"/>
          <a:ext cx="219075" cy="219075"/>
        </a:xfrm>
        <a:prstGeom prst="ellipse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361950</xdr:colOff>
      <xdr:row>28</xdr:row>
      <xdr:rowOff>76200</xdr:rowOff>
    </xdr:to>
    <xdr:pic>
      <xdr:nvPicPr>
        <xdr:cNvPr id="4098" name="Picture 2">
          <a:extLst>
            <a:ext uri="{FF2B5EF4-FFF2-40B4-BE49-F238E27FC236}">
              <a16:creationId xmlns:a16="http://schemas.microsoft.com/office/drawing/2014/main" id="{00000000-0008-0000-0800-0000021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7067550" cy="461010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29</xdr:row>
      <xdr:rowOff>85725</xdr:rowOff>
    </xdr:from>
    <xdr:to>
      <xdr:col>11</xdr:col>
      <xdr:colOff>247650</xdr:colOff>
      <xdr:row>60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533E8A71-E4B1-48CE-BBDA-2724604187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4781550"/>
          <a:ext cx="7029450" cy="4933950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266700</xdr:colOff>
      <xdr:row>30</xdr:row>
      <xdr:rowOff>114300</xdr:rowOff>
    </xdr:from>
    <xdr:to>
      <xdr:col>20</xdr:col>
      <xdr:colOff>219075</xdr:colOff>
      <xdr:row>48</xdr:row>
      <xdr:rowOff>123825</xdr:rowOff>
    </xdr:to>
    <xdr:pic>
      <xdr:nvPicPr>
        <xdr:cNvPr id="5" name="Picture 6">
          <a:extLst>
            <a:ext uri="{FF2B5EF4-FFF2-40B4-BE49-F238E27FC236}">
              <a16:creationId xmlns:a16="http://schemas.microsoft.com/office/drawing/2014/main" id="{369AF9F7-98AF-47B7-9167-095BD2E529E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7658100" y="4972050"/>
          <a:ext cx="4829175" cy="2924175"/>
        </a:xfrm>
        <a:prstGeom prst="rect">
          <a:avLst/>
        </a:prstGeom>
        <a:noFill/>
      </xdr:spPr>
    </xdr:pic>
    <xdr:clientData/>
  </xdr:twoCellAnchor>
  <xdr:twoCellAnchor editAs="oneCell">
    <xdr:from>
      <xdr:col>12</xdr:col>
      <xdr:colOff>342900</xdr:colOff>
      <xdr:row>9</xdr:row>
      <xdr:rowOff>133350</xdr:rowOff>
    </xdr:from>
    <xdr:to>
      <xdr:col>20</xdr:col>
      <xdr:colOff>304800</xdr:colOff>
      <xdr:row>27</xdr:row>
      <xdr:rowOff>142875</xdr:rowOff>
    </xdr:to>
    <xdr:pic>
      <xdr:nvPicPr>
        <xdr:cNvPr id="7" name="Picture 4">
          <a:extLst>
            <a:ext uri="{FF2B5EF4-FFF2-40B4-BE49-F238E27FC236}">
              <a16:creationId xmlns:a16="http://schemas.microsoft.com/office/drawing/2014/main" id="{E24B5BAA-E4BC-4F41-810F-6F0672A89C5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/>
        <a:srcRect/>
        <a:stretch>
          <a:fillRect/>
        </a:stretch>
      </xdr:blipFill>
      <xdr:spPr bwMode="auto">
        <a:xfrm>
          <a:off x="7734300" y="1590675"/>
          <a:ext cx="4838700" cy="2924175"/>
        </a:xfrm>
        <a:prstGeom prst="rect">
          <a:avLst/>
        </a:prstGeom>
        <a:noFill/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11</xdr:col>
      <xdr:colOff>247650</xdr:colOff>
      <xdr:row>30</xdr:row>
      <xdr:rowOff>76200</xdr:rowOff>
    </xdr:to>
    <xdr:pic>
      <xdr:nvPicPr>
        <xdr:cNvPr id="5122" name="Picture 2">
          <a:extLst>
            <a:ext uri="{FF2B5EF4-FFF2-40B4-BE49-F238E27FC236}">
              <a16:creationId xmlns:a16="http://schemas.microsoft.com/office/drawing/2014/main" id="{00000000-0008-0000-0900-000002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0" y="0"/>
          <a:ext cx="6953250" cy="4933950"/>
        </a:xfrm>
        <a:prstGeom prst="rect">
          <a:avLst/>
        </a:prstGeom>
        <a:noFill/>
      </xdr:spPr>
    </xdr:pic>
    <xdr:clientData/>
  </xdr:twoCellAnchor>
  <xdr:twoCellAnchor editAs="oneCell">
    <xdr:from>
      <xdr:col>0</xdr:col>
      <xdr:colOff>0</xdr:colOff>
      <xdr:row>32</xdr:row>
      <xdr:rowOff>57150</xdr:rowOff>
    </xdr:from>
    <xdr:to>
      <xdr:col>7</xdr:col>
      <xdr:colOff>495300</xdr:colOff>
      <xdr:row>50</xdr:row>
      <xdr:rowOff>66675</xdr:rowOff>
    </xdr:to>
    <xdr:pic>
      <xdr:nvPicPr>
        <xdr:cNvPr id="5124" name="Picture 4">
          <a:extLst>
            <a:ext uri="{FF2B5EF4-FFF2-40B4-BE49-F238E27FC236}">
              <a16:creationId xmlns:a16="http://schemas.microsoft.com/office/drawing/2014/main" id="{00000000-0008-0000-0900-000004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0" y="5238750"/>
          <a:ext cx="4762500" cy="2924175"/>
        </a:xfrm>
        <a:prstGeom prst="rect">
          <a:avLst/>
        </a:prstGeom>
        <a:noFill/>
      </xdr:spPr>
    </xdr:pic>
    <xdr:clientData/>
  </xdr:twoCellAnchor>
  <xdr:twoCellAnchor editAs="oneCell">
    <xdr:from>
      <xdr:col>8</xdr:col>
      <xdr:colOff>438150</xdr:colOff>
      <xdr:row>32</xdr:row>
      <xdr:rowOff>104775</xdr:rowOff>
    </xdr:from>
    <xdr:to>
      <xdr:col>16</xdr:col>
      <xdr:colOff>390525</xdr:colOff>
      <xdr:row>50</xdr:row>
      <xdr:rowOff>114300</xdr:rowOff>
    </xdr:to>
    <xdr:pic>
      <xdr:nvPicPr>
        <xdr:cNvPr id="5126" name="Picture 6">
          <a:extLst>
            <a:ext uri="{FF2B5EF4-FFF2-40B4-BE49-F238E27FC236}">
              <a16:creationId xmlns:a16="http://schemas.microsoft.com/office/drawing/2014/main" id="{00000000-0008-0000-0900-0000061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/>
        <a:srcRect/>
        <a:stretch>
          <a:fillRect/>
        </a:stretch>
      </xdr:blipFill>
      <xdr:spPr bwMode="auto">
        <a:xfrm>
          <a:off x="5314950" y="5286375"/>
          <a:ext cx="4829175" cy="2924175"/>
        </a:xfrm>
        <a:prstGeom prst="rect">
          <a:avLst/>
        </a:prstGeom>
        <a:noFill/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kupsvr\09%20Administration\HR\Attendancesummary201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51\s\09%20Administration\HR\Attendance-2017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1.251\s\09%20Administration\HR\Updated%20Staff%20Attendance-201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tendance from November 2015"/>
    </sheetNames>
    <sheetDataSet>
      <sheetData sheetId="0">
        <row r="6">
          <cell r="H6">
            <v>178</v>
          </cell>
        </row>
        <row r="51">
          <cell r="H51">
            <v>323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tendance"/>
    </sheetNames>
    <sheetDataSet>
      <sheetData sheetId="0">
        <row r="34">
          <cell r="H34" t="e">
            <v>#NAME?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ttendance"/>
    </sheetNames>
    <sheetDataSet>
      <sheetData sheetId="0">
        <row r="29">
          <cell r="H29">
            <v>0</v>
          </cell>
        </row>
      </sheetData>
    </sheetDataSet>
  </externalBook>
</externalLink>
</file>

<file path=xl/theme/_rels/theme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Median">
  <a:themeElements>
    <a:clrScheme name="Median">
      <a:dk1>
        <a:sysClr val="windowText" lastClr="000000"/>
      </a:dk1>
      <a:lt1>
        <a:sysClr val="window" lastClr="FFFFFF"/>
      </a:lt1>
      <a:dk2>
        <a:srgbClr val="775F55"/>
      </a:dk2>
      <a:lt2>
        <a:srgbClr val="EBDDC3"/>
      </a:lt2>
      <a:accent1>
        <a:srgbClr val="94B6D2"/>
      </a:accent1>
      <a:accent2>
        <a:srgbClr val="DD8047"/>
      </a:accent2>
      <a:accent3>
        <a:srgbClr val="A5AB81"/>
      </a:accent3>
      <a:accent4>
        <a:srgbClr val="D8B25C"/>
      </a:accent4>
      <a:accent5>
        <a:srgbClr val="7BA79D"/>
      </a:accent5>
      <a:accent6>
        <a:srgbClr val="968C8C"/>
      </a:accent6>
      <a:hlink>
        <a:srgbClr val="F7B615"/>
      </a:hlink>
      <a:folHlink>
        <a:srgbClr val="704404"/>
      </a:folHlink>
    </a:clrScheme>
    <a:fontScheme name="Median">
      <a:majorFont>
        <a:latin typeface="Tw Cen MT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ajorFont>
      <a:minorFont>
        <a:latin typeface="Tw Cen MT"/>
        <a:ea typeface=""/>
        <a:cs typeface=""/>
        <a:font script="Grek" typeface="Calibri"/>
        <a:font script="Cyrl" typeface="Calibri"/>
        <a:font script="Jpan" typeface="HGPｺﾞｼｯｸE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</a:minorFont>
    </a:fontScheme>
    <a:fmtScheme name="Median">
      <a:fillStyleLst>
        <a:solidFill>
          <a:schemeClr val="phClr"/>
        </a:solidFill>
        <a:solidFill>
          <a:schemeClr val="phClr">
            <a:tint val="50000"/>
          </a:schemeClr>
        </a:solidFill>
        <a:solidFill>
          <a:schemeClr val="phClr"/>
        </a:solidFill>
      </a:fillStyleLst>
      <a:lnStyleLst>
        <a:ln w="100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47625" cap="flat" cmpd="dbl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300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38100" dist="300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  <a:scene3d>
            <a:camera prst="isometricTopDown" fov="0">
              <a:rot lat="0" lon="0" rev="0"/>
            </a:camera>
            <a:lightRig rig="balanced" dir="t">
              <a:rot lat="0" lon="0" rev="13800000"/>
            </a:lightRig>
          </a:scene3d>
          <a:sp3d extrusionH="12700" prstMaterial="plastic">
            <a:bevelT w="38100" h="25400" prst="softRound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blipFill>
          <a:blip xmlns:r="http://schemas.openxmlformats.org/officeDocument/2006/relationships" r:embed="rId1">
            <a:duotone>
              <a:schemeClr val="phClr">
                <a:shade val="90000"/>
                <a:satMod val="140000"/>
              </a:schemeClr>
              <a:schemeClr val="phClr">
                <a:satMod val="120000"/>
              </a:schemeClr>
            </a:duotone>
          </a:blip>
          <a:tile tx="0" ty="0" sx="100000" sy="100000" flip="none" algn="tl"/>
        </a:blipFill>
        <a:blipFill>
          <a:blip xmlns:r="http://schemas.openxmlformats.org/officeDocument/2006/relationships" r:embed="rId2">
            <a:duotone>
              <a:schemeClr val="phClr">
                <a:shade val="90000"/>
                <a:satMod val="140000"/>
              </a:schemeClr>
              <a:schemeClr val="phClr">
                <a:satMod val="12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sumithra@milcris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vmlDrawing" Target="../drawings/vmlDrawing1.vml"/><Relationship Id="rId3" Type="http://schemas.openxmlformats.org/officeDocument/2006/relationships/hyperlink" Target="file:///\\Bkupsvr\G\05%20Quality_System\Quality%20System\5%20Milcris%20Admin%20Forms\Form%2011%20Medical%20leave%20application-Rev2May15.pdf" TargetMode="External"/><Relationship Id="rId7" Type="http://schemas.openxmlformats.org/officeDocument/2006/relationships/drawing" Target="../drawings/drawing2.xml"/><Relationship Id="rId2" Type="http://schemas.openxmlformats.org/officeDocument/2006/relationships/hyperlink" Target="file:///\\Bkupsvr\G\05%20Quality_System\Quality%20System\5%20Milcris%20Admin%20Forms\Form%2010%20Annual%20leave%20application-Rev4May15.pdf" TargetMode="External"/><Relationship Id="rId1" Type="http://schemas.openxmlformats.org/officeDocument/2006/relationships/hyperlink" Target="mailto:sumithra@milcris.com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file:///\\Bkupsvr\G\05%20Quality_System\Quality%20System\5%20Milcris%20Admin%20Forms\Form%2013%20Rejoining%20Duty%20Report%20Form.pdf" TargetMode="External"/><Relationship Id="rId4" Type="http://schemas.openxmlformats.org/officeDocument/2006/relationships/hyperlink" Target="file:///\\Bkupsvr\G\05%20Quality_System\Quality%20System\5%20Milcris%20Admin%20Forms\Form%209%20%20Local%20Leave%20Application%20form-R2-Dec2015.pdf" TargetMode="External"/><Relationship Id="rId9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hyperlink" Target="file:///\\Bkupsvr\G\05%20Quality_System\Quality%20System\5%20Milcris%20Admin%20Forms\Form%209%20%20Local%20Leave%20Application%20form-R2-Dec2015.pdf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file:///\\Bkupsvr\G\05%20Quality_System\Quality%20System\5%20Milcris%20Admin%20Forms\Form%2011%20Medical%20leave%20application-Rev2May15.pdf" TargetMode="External"/><Relationship Id="rId1" Type="http://schemas.openxmlformats.org/officeDocument/2006/relationships/hyperlink" Target="file:///\\Bkupsvr\G\05%20Quality_System\Quality%20System\5%20Milcris%20Admin%20Forms\Form%2010%20Annual%20leave%20application-Rev4May15.pdf" TargetMode="External"/><Relationship Id="rId6" Type="http://schemas.openxmlformats.org/officeDocument/2006/relationships/drawing" Target="../drawings/drawing3.xml"/><Relationship Id="rId5" Type="http://schemas.openxmlformats.org/officeDocument/2006/relationships/printerSettings" Target="../printerSettings/printerSettings3.bin"/><Relationship Id="rId4" Type="http://schemas.openxmlformats.org/officeDocument/2006/relationships/hyperlink" Target="file:///\\Bkupsvr\G\05%20Quality_System\Quality%20System\5%20Milcris%20Admin%20Forms\Form%2013%20Rejoining%20Duty%20Report%20Form.pdf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file:///\\Bkupsvr\G\05%20Quality_System\Quality%20System\5%20Milcris%20Admin%20Forms\Form%2011%20Medical%20leave%20application-Rev2May15.pdf" TargetMode="External"/><Relationship Id="rId7" Type="http://schemas.openxmlformats.org/officeDocument/2006/relationships/drawing" Target="../drawings/drawing4.xml"/><Relationship Id="rId2" Type="http://schemas.openxmlformats.org/officeDocument/2006/relationships/hyperlink" Target="file:///\\Bkupsvr\G\05%20Quality_System\Quality%20System\5%20Milcris%20Admin%20Forms\Form%2010%20Annual%20leave%20application-Rev4May15.pdf" TargetMode="External"/><Relationship Id="rId1" Type="http://schemas.openxmlformats.org/officeDocument/2006/relationships/hyperlink" Target="mailto:sumithra@milcris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file:///\\Bkupsvr\G\05%20Quality_System\Quality%20System\5%20Milcris%20Admin%20Forms\Form%2013%20Rejoining%20Duty%20Report%20Form.pdf" TargetMode="External"/><Relationship Id="rId4" Type="http://schemas.openxmlformats.org/officeDocument/2006/relationships/hyperlink" Target="file:///\\Bkupsvr\G\05%20Quality_System\Quality%20System\5%20Milcris%20Admin%20Forms\Form%209%20%20Local%20Leave%20Application%20form-R2-Dec2015.pdf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F53"/>
  <sheetViews>
    <sheetView topLeftCell="A25" workbookViewId="0">
      <selection activeCell="Z19" sqref="Z19"/>
    </sheetView>
  </sheetViews>
  <sheetFormatPr defaultColWidth="9.140625" defaultRowHeight="12.75" x14ac:dyDescent="0.2"/>
  <cols>
    <col min="1" max="1" width="1.28515625" style="2" customWidth="1"/>
    <col min="2" max="8" width="5.140625" style="2" customWidth="1"/>
    <col min="9" max="9" width="5.7109375" style="2" customWidth="1"/>
    <col min="10" max="16" width="5.140625" style="2" customWidth="1"/>
    <col min="17" max="17" width="1.28515625" style="2" customWidth="1"/>
    <col min="18" max="18" width="3" style="2" bestFit="1" customWidth="1"/>
    <col min="19" max="19" width="7.140625" style="2" customWidth="1"/>
    <col min="20" max="20" width="12" style="2" customWidth="1"/>
    <col min="21" max="21" width="9.140625" style="2"/>
    <col min="22" max="22" width="11.28515625" style="2" customWidth="1"/>
    <col min="23" max="23" width="4.85546875" style="2" hidden="1" customWidth="1"/>
    <col min="24" max="24" width="5" style="2" hidden="1" customWidth="1"/>
    <col min="25" max="25" width="3.42578125" style="2" hidden="1" customWidth="1"/>
    <col min="26" max="26" width="7.5703125" style="2" customWidth="1"/>
    <col min="27" max="27" width="10" style="2" bestFit="1" customWidth="1"/>
    <col min="28" max="28" width="9.140625" style="2"/>
    <col min="29" max="29" width="10.140625" style="2" customWidth="1"/>
    <col min="30" max="16384" width="9.140625" style="2"/>
  </cols>
  <sheetData>
    <row r="1" spans="1:31" ht="26.1" customHeight="1" x14ac:dyDescent="0.2">
      <c r="A1" s="1"/>
      <c r="B1" s="318">
        <v>2015</v>
      </c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318"/>
      <c r="P1" s="319"/>
      <c r="S1" s="63" t="s">
        <v>133</v>
      </c>
      <c r="V1" s="142"/>
      <c r="Z1" s="1"/>
      <c r="AA1" s="71"/>
      <c r="AB1" s="143"/>
      <c r="AC1" s="144"/>
      <c r="AD1" s="71"/>
      <c r="AE1" s="5"/>
    </row>
    <row r="2" spans="1:31" ht="12.75" customHeight="1" x14ac:dyDescent="0.25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R2" s="64"/>
      <c r="S2" s="65" t="s">
        <v>62</v>
      </c>
      <c r="AA2" s="17"/>
      <c r="AB2" s="17"/>
      <c r="AC2" s="17"/>
      <c r="AD2" s="17"/>
    </row>
    <row r="3" spans="1:31" x14ac:dyDescent="0.2">
      <c r="A3" s="1"/>
      <c r="B3" s="312" t="s">
        <v>0</v>
      </c>
      <c r="C3" s="312"/>
      <c r="D3" s="312"/>
      <c r="E3" s="312"/>
      <c r="F3" s="312"/>
      <c r="G3" s="312"/>
      <c r="H3" s="312"/>
      <c r="I3" s="4"/>
      <c r="J3" s="312" t="s">
        <v>1</v>
      </c>
      <c r="K3" s="312"/>
      <c r="L3" s="312"/>
      <c r="M3" s="312"/>
      <c r="N3" s="312"/>
      <c r="O3" s="312"/>
      <c r="P3" s="312"/>
      <c r="Q3" s="5"/>
      <c r="X3" s="66"/>
      <c r="Y3" s="66"/>
      <c r="Z3" s="66"/>
      <c r="AA3" s="66"/>
    </row>
    <row r="4" spans="1:31" x14ac:dyDescent="0.2">
      <c r="A4" s="1"/>
      <c r="B4" s="6" t="s">
        <v>2</v>
      </c>
      <c r="C4" s="6" t="s">
        <v>3</v>
      </c>
      <c r="D4" s="6" t="s">
        <v>4</v>
      </c>
      <c r="E4" s="6" t="s">
        <v>5</v>
      </c>
      <c r="F4" s="6" t="s">
        <v>4</v>
      </c>
      <c r="G4" s="6" t="s">
        <v>6</v>
      </c>
      <c r="H4" s="6" t="s">
        <v>2</v>
      </c>
      <c r="I4" s="7"/>
      <c r="J4" s="6" t="s">
        <v>2</v>
      </c>
      <c r="K4" s="6" t="s">
        <v>3</v>
      </c>
      <c r="L4" s="6" t="s">
        <v>4</v>
      </c>
      <c r="M4" s="6" t="s">
        <v>5</v>
      </c>
      <c r="N4" s="6" t="s">
        <v>4</v>
      </c>
      <c r="O4" s="6" t="s">
        <v>6</v>
      </c>
      <c r="P4" s="6" t="s">
        <v>2</v>
      </c>
      <c r="Q4" s="5"/>
      <c r="V4" s="1"/>
      <c r="W4" s="1"/>
      <c r="X4" s="67" t="s">
        <v>24</v>
      </c>
      <c r="Y4" s="67"/>
      <c r="Z4" s="68" t="s">
        <v>63</v>
      </c>
      <c r="AA4" s="68" t="s">
        <v>64</v>
      </c>
      <c r="AB4" s="5"/>
    </row>
    <row r="5" spans="1:31" ht="14.25" x14ac:dyDescent="0.2">
      <c r="A5" s="1"/>
      <c r="B5" s="315"/>
      <c r="C5" s="316"/>
      <c r="D5" s="316"/>
      <c r="E5" s="317"/>
      <c r="F5" s="11">
        <v>1</v>
      </c>
      <c r="G5" s="11">
        <v>2</v>
      </c>
      <c r="H5" s="9">
        <v>3</v>
      </c>
      <c r="I5" s="7"/>
      <c r="J5" s="9">
        <v>1</v>
      </c>
      <c r="K5" s="11">
        <v>2</v>
      </c>
      <c r="L5" s="11">
        <v>3</v>
      </c>
      <c r="M5" s="32">
        <v>4</v>
      </c>
      <c r="N5" s="32">
        <v>5</v>
      </c>
      <c r="O5" s="11">
        <v>6</v>
      </c>
      <c r="P5" s="11">
        <v>7</v>
      </c>
      <c r="Q5" s="5"/>
      <c r="S5" s="39"/>
      <c r="T5" s="40" t="s">
        <v>17</v>
      </c>
      <c r="U5" s="40"/>
      <c r="V5" s="69"/>
      <c r="W5" s="1">
        <f>Z5/2</f>
        <v>0</v>
      </c>
      <c r="X5" s="322">
        <f ca="1">CountCellsByColor(A1:Q52,S5)</f>
        <v>0</v>
      </c>
      <c r="Y5" s="323"/>
      <c r="Z5" s="70"/>
      <c r="AA5" s="70">
        <f ca="1">X5-W5</f>
        <v>0</v>
      </c>
      <c r="AB5" s="5"/>
    </row>
    <row r="6" spans="1:31" ht="14.25" x14ac:dyDescent="0.2">
      <c r="A6" s="1"/>
      <c r="B6" s="9">
        <v>4</v>
      </c>
      <c r="C6" s="11">
        <v>5</v>
      </c>
      <c r="D6" s="11">
        <v>6</v>
      </c>
      <c r="E6" s="11">
        <v>7</v>
      </c>
      <c r="F6" s="11">
        <v>8</v>
      </c>
      <c r="G6" s="11">
        <v>9</v>
      </c>
      <c r="H6" s="9">
        <v>10</v>
      </c>
      <c r="I6" s="7"/>
      <c r="J6" s="32">
        <v>8</v>
      </c>
      <c r="K6" s="32">
        <v>9</v>
      </c>
      <c r="L6" s="32">
        <v>10</v>
      </c>
      <c r="M6" s="32">
        <v>11</v>
      </c>
      <c r="N6" s="32">
        <v>12</v>
      </c>
      <c r="O6" s="11">
        <v>13</v>
      </c>
      <c r="P6" s="9">
        <v>14</v>
      </c>
      <c r="Q6" s="5"/>
      <c r="S6" s="41"/>
      <c r="T6" s="40" t="s">
        <v>18</v>
      </c>
      <c r="U6" s="40"/>
      <c r="V6" s="69"/>
      <c r="W6" s="1">
        <f t="shared" ref="W6:W14" si="0">Z6/2</f>
        <v>0</v>
      </c>
      <c r="X6" s="322">
        <f ca="1">CountCellsByColor(A1:Q53,S6)</f>
        <v>0</v>
      </c>
      <c r="Y6" s="323"/>
      <c r="Z6" s="70"/>
      <c r="AA6" s="70">
        <f ca="1">X6-W6</f>
        <v>0</v>
      </c>
      <c r="AB6" s="5"/>
    </row>
    <row r="7" spans="1:31" ht="14.25" x14ac:dyDescent="0.2">
      <c r="A7" s="1"/>
      <c r="B7" s="9">
        <v>11</v>
      </c>
      <c r="C7" s="11">
        <v>12</v>
      </c>
      <c r="D7" s="11">
        <v>13</v>
      </c>
      <c r="E7" s="11">
        <v>14</v>
      </c>
      <c r="F7" s="11">
        <v>15</v>
      </c>
      <c r="G7" s="11">
        <v>16</v>
      </c>
      <c r="H7" s="9">
        <v>17</v>
      </c>
      <c r="I7" s="7"/>
      <c r="J7" s="32">
        <v>15</v>
      </c>
      <c r="K7" s="32">
        <v>16</v>
      </c>
      <c r="L7" s="32">
        <v>17</v>
      </c>
      <c r="M7" s="11">
        <v>18</v>
      </c>
      <c r="N7" s="32">
        <v>19</v>
      </c>
      <c r="O7" s="11">
        <v>20</v>
      </c>
      <c r="P7" s="9">
        <v>21</v>
      </c>
      <c r="Q7" s="5"/>
      <c r="S7" s="45"/>
      <c r="T7" s="40" t="s">
        <v>19</v>
      </c>
      <c r="U7" s="40"/>
      <c r="V7" s="69"/>
      <c r="W7" s="1">
        <f t="shared" si="0"/>
        <v>0</v>
      </c>
      <c r="X7" s="322">
        <f ca="1">CountCellsByColor(C4:Q54,S7)</f>
        <v>0</v>
      </c>
      <c r="Y7" s="323"/>
      <c r="Z7" s="70"/>
      <c r="AA7" s="70">
        <f ca="1">X7-W7</f>
        <v>0</v>
      </c>
      <c r="AB7" s="5"/>
    </row>
    <row r="8" spans="1:31" ht="14.25" x14ac:dyDescent="0.2">
      <c r="A8" s="1"/>
      <c r="B8" s="9">
        <v>18</v>
      </c>
      <c r="C8" s="11">
        <v>19</v>
      </c>
      <c r="D8" s="11">
        <v>20</v>
      </c>
      <c r="E8" s="11">
        <v>21</v>
      </c>
      <c r="F8" s="11">
        <v>22</v>
      </c>
      <c r="G8" s="11">
        <v>23</v>
      </c>
      <c r="H8" s="9">
        <v>24</v>
      </c>
      <c r="I8" s="7"/>
      <c r="J8" s="9">
        <v>22</v>
      </c>
      <c r="K8" s="11">
        <v>23</v>
      </c>
      <c r="L8" s="11">
        <v>24</v>
      </c>
      <c r="M8" s="11">
        <v>25</v>
      </c>
      <c r="N8" s="11">
        <v>26</v>
      </c>
      <c r="O8" s="32">
        <v>27</v>
      </c>
      <c r="P8" s="9">
        <v>28</v>
      </c>
      <c r="Q8" s="5"/>
      <c r="T8" s="40"/>
      <c r="U8" s="40"/>
      <c r="V8" s="69"/>
      <c r="W8" s="1">
        <f t="shared" si="0"/>
        <v>0</v>
      </c>
      <c r="X8" s="71"/>
      <c r="Y8" s="71"/>
      <c r="Z8" s="72"/>
      <c r="AA8" s="72"/>
      <c r="AB8" s="5"/>
    </row>
    <row r="9" spans="1:31" ht="14.25" x14ac:dyDescent="0.2">
      <c r="A9" s="1"/>
      <c r="B9" s="11">
        <v>25</v>
      </c>
      <c r="C9" s="11">
        <v>26</v>
      </c>
      <c r="D9" s="11">
        <v>27</v>
      </c>
      <c r="E9" s="11">
        <v>28</v>
      </c>
      <c r="F9" s="11">
        <v>29</v>
      </c>
      <c r="G9" s="11">
        <v>30</v>
      </c>
      <c r="H9" s="9">
        <v>31</v>
      </c>
      <c r="I9" s="13"/>
      <c r="J9" s="313"/>
      <c r="K9" s="314"/>
      <c r="L9" s="314"/>
      <c r="M9" s="314"/>
      <c r="N9" s="314"/>
      <c r="O9" s="314"/>
      <c r="P9" s="314"/>
      <c r="Q9" s="5"/>
      <c r="T9" s="40" t="s">
        <v>20</v>
      </c>
      <c r="U9" s="40"/>
      <c r="V9" s="69"/>
      <c r="W9" s="1">
        <f t="shared" si="0"/>
        <v>0</v>
      </c>
      <c r="X9" s="71"/>
      <c r="Y9" s="71"/>
      <c r="Z9" s="72"/>
      <c r="AA9" s="72"/>
      <c r="AB9" s="5"/>
    </row>
    <row r="10" spans="1:31" ht="6" customHeight="1" x14ac:dyDescent="0.2">
      <c r="A10" s="1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T10" s="40"/>
      <c r="U10" s="40"/>
      <c r="V10" s="69"/>
      <c r="W10" s="1">
        <f t="shared" si="0"/>
        <v>0</v>
      </c>
      <c r="X10" s="71"/>
      <c r="Y10" s="71"/>
      <c r="Z10" s="72"/>
      <c r="AA10" s="72"/>
      <c r="AB10" s="5"/>
    </row>
    <row r="11" spans="1:31" ht="14.25" x14ac:dyDescent="0.2">
      <c r="A11" s="1"/>
      <c r="B11" s="312" t="s">
        <v>7</v>
      </c>
      <c r="C11" s="312"/>
      <c r="D11" s="312"/>
      <c r="E11" s="312"/>
      <c r="F11" s="312"/>
      <c r="G11" s="312"/>
      <c r="H11" s="312"/>
      <c r="I11" s="4"/>
      <c r="J11" s="320" t="s">
        <v>8</v>
      </c>
      <c r="K11" s="320"/>
      <c r="L11" s="320"/>
      <c r="M11" s="320"/>
      <c r="N11" s="320"/>
      <c r="O11" s="320"/>
      <c r="P11" s="320"/>
      <c r="Q11" s="5"/>
      <c r="S11" s="42"/>
      <c r="T11" s="40"/>
      <c r="U11" s="40"/>
      <c r="V11" s="69"/>
      <c r="W11" s="1">
        <f t="shared" si="0"/>
        <v>0</v>
      </c>
      <c r="X11" s="71"/>
      <c r="Y11" s="71"/>
      <c r="Z11" s="72"/>
      <c r="AA11" s="72"/>
      <c r="AB11" s="5"/>
    </row>
    <row r="12" spans="1:31" ht="14.25" x14ac:dyDescent="0.2">
      <c r="A12" s="1"/>
      <c r="B12" s="6" t="s">
        <v>2</v>
      </c>
      <c r="C12" s="6" t="s">
        <v>3</v>
      </c>
      <c r="D12" s="6" t="s">
        <v>4</v>
      </c>
      <c r="E12" s="6" t="s">
        <v>5</v>
      </c>
      <c r="F12" s="6" t="s">
        <v>4</v>
      </c>
      <c r="G12" s="6" t="s">
        <v>6</v>
      </c>
      <c r="H12" s="6" t="s">
        <v>2</v>
      </c>
      <c r="I12" s="4"/>
      <c r="J12" s="24" t="s">
        <v>2</v>
      </c>
      <c r="K12" s="25" t="s">
        <v>3</v>
      </c>
      <c r="L12" s="25" t="s">
        <v>4</v>
      </c>
      <c r="M12" s="25" t="s">
        <v>5</v>
      </c>
      <c r="N12" s="25" t="s">
        <v>4</v>
      </c>
      <c r="O12" s="25" t="s">
        <v>6</v>
      </c>
      <c r="P12" s="26" t="s">
        <v>2</v>
      </c>
      <c r="Q12" s="5"/>
      <c r="S12" s="43"/>
      <c r="T12" s="40" t="s">
        <v>21</v>
      </c>
      <c r="V12" s="1"/>
      <c r="W12" s="1">
        <f t="shared" si="0"/>
        <v>0</v>
      </c>
      <c r="X12" s="73">
        <f ca="1">CountCellsByColor(B1:R59,S12)</f>
        <v>0</v>
      </c>
      <c r="Y12" s="73"/>
      <c r="Z12" s="70"/>
      <c r="AA12" s="70">
        <f ca="1">X12-W12</f>
        <v>0</v>
      </c>
      <c r="AB12" s="5"/>
    </row>
    <row r="13" spans="1:31" ht="14.25" x14ac:dyDescent="0.2">
      <c r="A13" s="1"/>
      <c r="B13" s="9">
        <v>1</v>
      </c>
      <c r="C13" s="11">
        <v>2</v>
      </c>
      <c r="D13" s="11">
        <v>3</v>
      </c>
      <c r="E13" s="11">
        <v>4</v>
      </c>
      <c r="F13" s="11">
        <v>5</v>
      </c>
      <c r="G13" s="11">
        <v>6</v>
      </c>
      <c r="H13" s="11">
        <v>7</v>
      </c>
      <c r="I13" s="4"/>
      <c r="J13" s="315"/>
      <c r="K13" s="316"/>
      <c r="L13" s="317"/>
      <c r="M13" s="11">
        <v>1</v>
      </c>
      <c r="N13" s="11">
        <v>2</v>
      </c>
      <c r="O13" s="11">
        <v>3</v>
      </c>
      <c r="P13" s="11">
        <v>4</v>
      </c>
      <c r="Q13" s="5"/>
      <c r="S13" s="44"/>
      <c r="T13" s="40" t="s">
        <v>22</v>
      </c>
      <c r="V13" s="1"/>
      <c r="W13" s="1">
        <f t="shared" si="0"/>
        <v>0</v>
      </c>
      <c r="X13" s="73">
        <f ca="1">CountCellsByColor(B2:R60,S13)</f>
        <v>0</v>
      </c>
      <c r="Y13" s="73"/>
      <c r="Z13" s="70"/>
      <c r="AA13" s="70">
        <f ca="1">X13-W13</f>
        <v>0</v>
      </c>
      <c r="AB13" s="5"/>
    </row>
    <row r="14" spans="1:31" x14ac:dyDescent="0.2">
      <c r="A14" s="1"/>
      <c r="B14" s="9">
        <v>8</v>
      </c>
      <c r="C14" s="11">
        <v>9</v>
      </c>
      <c r="D14" s="11">
        <v>10</v>
      </c>
      <c r="E14" s="11">
        <v>11</v>
      </c>
      <c r="F14" s="11">
        <v>12</v>
      </c>
      <c r="G14" s="11">
        <v>13</v>
      </c>
      <c r="H14" s="9">
        <v>14</v>
      </c>
      <c r="I14" s="4"/>
      <c r="J14" s="9">
        <v>5</v>
      </c>
      <c r="K14" s="11">
        <v>6</v>
      </c>
      <c r="L14" s="11">
        <v>7</v>
      </c>
      <c r="M14" s="11">
        <v>8</v>
      </c>
      <c r="N14" s="11">
        <v>9</v>
      </c>
      <c r="O14" s="11">
        <v>10</v>
      </c>
      <c r="P14" s="9">
        <v>11</v>
      </c>
      <c r="Q14" s="5"/>
      <c r="S14" s="80"/>
      <c r="T14" s="2" t="s">
        <v>77</v>
      </c>
      <c r="W14" s="1">
        <f t="shared" si="0"/>
        <v>0</v>
      </c>
      <c r="X14" s="73">
        <f ca="1">CountCellsByColor(A1:R61,S14)</f>
        <v>0</v>
      </c>
      <c r="Y14" s="73"/>
      <c r="Z14" s="73"/>
      <c r="AA14" s="70">
        <f ca="1">X14-W14</f>
        <v>0</v>
      </c>
      <c r="AB14" s="5"/>
    </row>
    <row r="15" spans="1:31" ht="14.25" x14ac:dyDescent="0.2">
      <c r="A15" s="1"/>
      <c r="B15" s="9">
        <v>15</v>
      </c>
      <c r="C15" s="11">
        <v>16</v>
      </c>
      <c r="D15" s="11">
        <v>17</v>
      </c>
      <c r="E15" s="11">
        <v>18</v>
      </c>
      <c r="F15" s="11">
        <v>19</v>
      </c>
      <c r="G15" s="11">
        <v>20</v>
      </c>
      <c r="H15" s="9">
        <v>21</v>
      </c>
      <c r="I15" s="4"/>
      <c r="J15" s="9">
        <v>12</v>
      </c>
      <c r="K15" s="11">
        <v>13</v>
      </c>
      <c r="L15" s="11">
        <v>14</v>
      </c>
      <c r="M15" s="11">
        <v>15</v>
      </c>
      <c r="N15" s="11">
        <v>16</v>
      </c>
      <c r="O15" s="11">
        <v>17</v>
      </c>
      <c r="P15" s="9">
        <v>18</v>
      </c>
      <c r="Q15" s="5"/>
      <c r="S15" s="137"/>
      <c r="T15" s="40" t="s">
        <v>94</v>
      </c>
      <c r="X15" s="73">
        <f ca="1">CountCellsByColor(B4:R62,S15)</f>
        <v>0</v>
      </c>
      <c r="Y15" s="73"/>
      <c r="Z15" s="73"/>
      <c r="AA15" s="70">
        <f ca="1">X15-W15</f>
        <v>0</v>
      </c>
    </row>
    <row r="16" spans="1:31" ht="12.75" customHeight="1" x14ac:dyDescent="0.2">
      <c r="A16" s="1"/>
      <c r="B16" s="9">
        <v>22</v>
      </c>
      <c r="C16" s="11">
        <v>23</v>
      </c>
      <c r="D16" s="11">
        <v>24</v>
      </c>
      <c r="E16" s="11">
        <v>25</v>
      </c>
      <c r="F16" s="11">
        <v>26</v>
      </c>
      <c r="G16" s="11">
        <v>27</v>
      </c>
      <c r="H16" s="9">
        <v>28</v>
      </c>
      <c r="I16" s="4"/>
      <c r="J16" s="9">
        <v>19</v>
      </c>
      <c r="K16" s="11">
        <v>20</v>
      </c>
      <c r="L16" s="11">
        <v>21</v>
      </c>
      <c r="M16" s="11">
        <v>22</v>
      </c>
      <c r="N16" s="11">
        <v>23</v>
      </c>
      <c r="O16" s="11">
        <v>24</v>
      </c>
      <c r="P16" s="9">
        <v>25</v>
      </c>
      <c r="Q16" s="5"/>
      <c r="S16" s="306"/>
      <c r="T16" s="308" t="s">
        <v>23</v>
      </c>
      <c r="U16" s="309"/>
    </row>
    <row r="17" spans="1:30" ht="16.5" customHeight="1" x14ac:dyDescent="0.2">
      <c r="A17" s="1"/>
      <c r="B17" s="9">
        <v>29</v>
      </c>
      <c r="C17" s="11">
        <v>30</v>
      </c>
      <c r="D17" s="27">
        <v>31</v>
      </c>
      <c r="E17" s="315"/>
      <c r="F17" s="316"/>
      <c r="G17" s="316"/>
      <c r="H17" s="317"/>
      <c r="I17" s="4"/>
      <c r="J17" s="9">
        <v>26</v>
      </c>
      <c r="K17" s="11">
        <v>27</v>
      </c>
      <c r="L17" s="12">
        <v>28</v>
      </c>
      <c r="M17" s="12">
        <v>29</v>
      </c>
      <c r="N17" s="12">
        <v>30</v>
      </c>
      <c r="O17" s="325"/>
      <c r="P17" s="326"/>
      <c r="Q17" s="5"/>
      <c r="S17" s="307"/>
      <c r="T17" s="310"/>
      <c r="U17" s="311"/>
    </row>
    <row r="18" spans="1:30" ht="6" customHeight="1" x14ac:dyDescent="0.2">
      <c r="A18" s="1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</row>
    <row r="19" spans="1:30" ht="15.75" x14ac:dyDescent="0.25">
      <c r="A19" s="1"/>
      <c r="B19" s="312" t="s">
        <v>9</v>
      </c>
      <c r="C19" s="312"/>
      <c r="D19" s="312"/>
      <c r="E19" s="312"/>
      <c r="F19" s="312"/>
      <c r="G19" s="312"/>
      <c r="H19" s="312"/>
      <c r="I19" s="4"/>
      <c r="J19" s="312" t="s">
        <v>10</v>
      </c>
      <c r="K19" s="312"/>
      <c r="L19" s="312"/>
      <c r="M19" s="312"/>
      <c r="N19" s="312"/>
      <c r="O19" s="312"/>
      <c r="P19" s="312"/>
      <c r="Q19" s="5"/>
      <c r="S19" s="74" t="s">
        <v>93</v>
      </c>
    </row>
    <row r="20" spans="1:30" x14ac:dyDescent="0.2">
      <c r="A20" s="1"/>
      <c r="B20" s="6" t="s">
        <v>2</v>
      </c>
      <c r="C20" s="6" t="s">
        <v>3</v>
      </c>
      <c r="D20" s="6" t="s">
        <v>4</v>
      </c>
      <c r="E20" s="6" t="s">
        <v>5</v>
      </c>
      <c r="F20" s="6" t="s">
        <v>4</v>
      </c>
      <c r="G20" s="6" t="s">
        <v>6</v>
      </c>
      <c r="H20" s="6" t="s">
        <v>2</v>
      </c>
      <c r="I20" s="4"/>
      <c r="J20" s="6" t="s">
        <v>2</v>
      </c>
      <c r="K20" s="6" t="s">
        <v>3</v>
      </c>
      <c r="L20" s="6" t="s">
        <v>4</v>
      </c>
      <c r="M20" s="6" t="s">
        <v>5</v>
      </c>
      <c r="N20" s="6" t="s">
        <v>4</v>
      </c>
      <c r="O20" s="6" t="s">
        <v>6</v>
      </c>
      <c r="P20" s="6" t="s">
        <v>2</v>
      </c>
      <c r="Q20" s="5"/>
    </row>
    <row r="21" spans="1:30" ht="14.25" x14ac:dyDescent="0.2">
      <c r="A21" s="1"/>
      <c r="B21" s="321"/>
      <c r="C21" s="314"/>
      <c r="D21" s="314"/>
      <c r="E21" s="314"/>
      <c r="F21" s="314"/>
      <c r="G21" s="11">
        <v>1</v>
      </c>
      <c r="H21" s="11">
        <v>2</v>
      </c>
      <c r="I21" s="4"/>
      <c r="J21" s="28"/>
      <c r="K21" s="11">
        <v>1</v>
      </c>
      <c r="L21" s="11">
        <v>2</v>
      </c>
      <c r="M21" s="11">
        <v>3</v>
      </c>
      <c r="N21" s="11">
        <v>4</v>
      </c>
      <c r="O21" s="8">
        <v>5</v>
      </c>
      <c r="P21" s="9">
        <v>6</v>
      </c>
      <c r="Q21" s="5"/>
      <c r="R21" s="180">
        <v>1</v>
      </c>
      <c r="S21" s="2" t="s">
        <v>80</v>
      </c>
      <c r="U21" s="133" t="s">
        <v>119</v>
      </c>
      <c r="V21" s="133"/>
      <c r="AA21" s="138"/>
      <c r="AB21" s="64"/>
      <c r="AD21" s="134"/>
    </row>
    <row r="22" spans="1:30" x14ac:dyDescent="0.2">
      <c r="A22" s="1"/>
      <c r="B22" s="9">
        <v>3</v>
      </c>
      <c r="C22" s="11">
        <v>4</v>
      </c>
      <c r="D22" s="11">
        <v>5</v>
      </c>
      <c r="E22" s="11">
        <v>6</v>
      </c>
      <c r="F22" s="11">
        <v>7</v>
      </c>
      <c r="G22" s="11">
        <v>8</v>
      </c>
      <c r="H22" s="9">
        <v>9</v>
      </c>
      <c r="I22" s="4"/>
      <c r="J22" s="9">
        <v>7</v>
      </c>
      <c r="K22" s="11">
        <v>8</v>
      </c>
      <c r="L22" s="11">
        <v>9</v>
      </c>
      <c r="M22" s="11">
        <v>10</v>
      </c>
      <c r="N22" s="11">
        <v>11</v>
      </c>
      <c r="O22" s="11">
        <v>12</v>
      </c>
      <c r="P22" s="9">
        <v>13</v>
      </c>
      <c r="Q22" s="5"/>
      <c r="R22" s="180">
        <v>2</v>
      </c>
      <c r="S22" s="2" t="s">
        <v>81</v>
      </c>
      <c r="U22" s="2" t="s">
        <v>120</v>
      </c>
      <c r="AB22" s="135"/>
      <c r="AC22" s="136"/>
      <c r="AD22" s="136"/>
    </row>
    <row r="23" spans="1:30" x14ac:dyDescent="0.2">
      <c r="A23" s="1"/>
      <c r="B23" s="9">
        <v>10</v>
      </c>
      <c r="C23" s="11">
        <v>11</v>
      </c>
      <c r="D23" s="11">
        <v>12</v>
      </c>
      <c r="E23" s="11">
        <v>13</v>
      </c>
      <c r="F23" s="11">
        <v>14</v>
      </c>
      <c r="G23" s="11">
        <v>15</v>
      </c>
      <c r="H23" s="9">
        <v>16</v>
      </c>
      <c r="I23" s="4"/>
      <c r="J23" s="9">
        <v>14</v>
      </c>
      <c r="K23" s="11">
        <v>15</v>
      </c>
      <c r="L23" s="11">
        <v>16</v>
      </c>
      <c r="M23" s="11">
        <v>17</v>
      </c>
      <c r="N23" s="11">
        <v>18</v>
      </c>
      <c r="O23" s="11">
        <v>19</v>
      </c>
      <c r="P23" s="9">
        <v>20</v>
      </c>
      <c r="Q23" s="5"/>
      <c r="R23" s="180">
        <v>3</v>
      </c>
      <c r="S23" s="2" t="s">
        <v>82</v>
      </c>
      <c r="U23" s="2" t="s">
        <v>121</v>
      </c>
      <c r="V23" s="75"/>
      <c r="AB23" s="135"/>
      <c r="AC23" s="136"/>
      <c r="AD23" s="136"/>
    </row>
    <row r="24" spans="1:30" x14ac:dyDescent="0.2">
      <c r="A24" s="1"/>
      <c r="B24" s="9">
        <v>17</v>
      </c>
      <c r="C24" s="11">
        <v>18</v>
      </c>
      <c r="D24" s="11">
        <v>19</v>
      </c>
      <c r="E24" s="11">
        <v>20</v>
      </c>
      <c r="F24" s="11">
        <v>21</v>
      </c>
      <c r="G24" s="11">
        <v>22</v>
      </c>
      <c r="H24" s="9">
        <v>23</v>
      </c>
      <c r="I24" s="4"/>
      <c r="J24" s="9">
        <v>21</v>
      </c>
      <c r="K24" s="11">
        <v>22</v>
      </c>
      <c r="L24" s="11">
        <v>23</v>
      </c>
      <c r="M24" s="11">
        <v>24</v>
      </c>
      <c r="N24" s="11">
        <v>25</v>
      </c>
      <c r="O24" s="11">
        <v>26</v>
      </c>
      <c r="P24" s="9">
        <v>27</v>
      </c>
      <c r="Q24" s="5"/>
      <c r="R24" s="180">
        <v>4</v>
      </c>
      <c r="S24" s="2" t="s">
        <v>83</v>
      </c>
      <c r="U24" s="76" t="s">
        <v>78</v>
      </c>
      <c r="V24" s="76"/>
      <c r="AB24" s="135"/>
      <c r="AC24" s="136"/>
      <c r="AD24" s="136"/>
    </row>
    <row r="25" spans="1:30" x14ac:dyDescent="0.2">
      <c r="A25" s="1"/>
      <c r="B25" s="9">
        <v>24</v>
      </c>
      <c r="C25" s="11">
        <v>25</v>
      </c>
      <c r="D25" s="12">
        <v>26</v>
      </c>
      <c r="E25" s="12">
        <v>27</v>
      </c>
      <c r="F25" s="12">
        <v>28</v>
      </c>
      <c r="G25" s="12">
        <v>29</v>
      </c>
      <c r="H25" s="12">
        <v>30</v>
      </c>
      <c r="I25" s="4"/>
      <c r="J25" s="9">
        <v>28</v>
      </c>
      <c r="K25" s="11">
        <v>29</v>
      </c>
      <c r="L25" s="11">
        <v>30</v>
      </c>
      <c r="M25" s="315"/>
      <c r="N25" s="316"/>
      <c r="O25" s="316"/>
      <c r="P25" s="317"/>
      <c r="Q25" s="5"/>
      <c r="R25" s="180">
        <v>5</v>
      </c>
      <c r="S25" s="2" t="s">
        <v>84</v>
      </c>
      <c r="U25" s="2" t="s">
        <v>79</v>
      </c>
    </row>
    <row r="26" spans="1:30" x14ac:dyDescent="0.2">
      <c r="A26" s="1"/>
      <c r="B26" s="9">
        <v>31</v>
      </c>
      <c r="C26" s="321"/>
      <c r="D26" s="314"/>
      <c r="E26" s="314"/>
      <c r="F26" s="314"/>
      <c r="G26" s="314"/>
      <c r="H26" s="314"/>
      <c r="I26" s="4"/>
      <c r="J26" s="29"/>
      <c r="K26" s="29"/>
      <c r="L26" s="29"/>
      <c r="M26" s="29"/>
      <c r="N26" s="29"/>
      <c r="O26" s="29"/>
      <c r="P26" s="29"/>
      <c r="Q26" s="5"/>
      <c r="R26" s="180">
        <v>6</v>
      </c>
      <c r="S26" s="2" t="s">
        <v>85</v>
      </c>
    </row>
    <row r="27" spans="1:30" ht="12" customHeight="1" x14ac:dyDescent="0.2">
      <c r="A27" s="1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R27" s="180">
        <v>7</v>
      </c>
      <c r="S27" s="2" t="s">
        <v>86</v>
      </c>
      <c r="U27" s="2" t="s">
        <v>122</v>
      </c>
    </row>
    <row r="28" spans="1:30" x14ac:dyDescent="0.2">
      <c r="A28" s="1"/>
      <c r="B28" s="312" t="s">
        <v>11</v>
      </c>
      <c r="C28" s="312"/>
      <c r="D28" s="312"/>
      <c r="E28" s="312"/>
      <c r="F28" s="312"/>
      <c r="G28" s="312"/>
      <c r="H28" s="312"/>
      <c r="I28" s="4"/>
      <c r="J28" s="312" t="s">
        <v>12</v>
      </c>
      <c r="K28" s="312"/>
      <c r="L28" s="312"/>
      <c r="M28" s="312"/>
      <c r="N28" s="312"/>
      <c r="O28" s="312"/>
      <c r="P28" s="312"/>
      <c r="Q28" s="5"/>
      <c r="R28" s="180">
        <v>8</v>
      </c>
      <c r="S28" s="2" t="s">
        <v>65</v>
      </c>
      <c r="U28" s="2" t="s">
        <v>123</v>
      </c>
    </row>
    <row r="29" spans="1:30" x14ac:dyDescent="0.2">
      <c r="A29" s="1"/>
      <c r="B29" s="6" t="s">
        <v>2</v>
      </c>
      <c r="C29" s="6" t="s">
        <v>3</v>
      </c>
      <c r="D29" s="6" t="s">
        <v>4</v>
      </c>
      <c r="E29" s="6" t="s">
        <v>5</v>
      </c>
      <c r="F29" s="6" t="s">
        <v>4</v>
      </c>
      <c r="G29" s="6" t="s">
        <v>6</v>
      </c>
      <c r="H29" s="6" t="s">
        <v>2</v>
      </c>
      <c r="I29" s="4"/>
      <c r="J29" s="6" t="s">
        <v>2</v>
      </c>
      <c r="K29" s="6" t="s">
        <v>3</v>
      </c>
      <c r="L29" s="6" t="s">
        <v>4</v>
      </c>
      <c r="M29" s="6" t="s">
        <v>5</v>
      </c>
      <c r="N29" s="6" t="s">
        <v>4</v>
      </c>
      <c r="O29" s="6" t="s">
        <v>6</v>
      </c>
      <c r="P29" s="6" t="s">
        <v>2</v>
      </c>
      <c r="Q29" s="5"/>
      <c r="R29" s="180">
        <v>9</v>
      </c>
      <c r="S29" s="2" t="s">
        <v>87</v>
      </c>
      <c r="U29" s="2" t="s">
        <v>124</v>
      </c>
    </row>
    <row r="30" spans="1:30" x14ac:dyDescent="0.2">
      <c r="A30" s="1"/>
      <c r="B30" s="321"/>
      <c r="C30" s="314"/>
      <c r="D30" s="314"/>
      <c r="E30" s="11">
        <v>1</v>
      </c>
      <c r="F30" s="11">
        <v>2</v>
      </c>
      <c r="G30" s="11">
        <v>3</v>
      </c>
      <c r="H30" s="11">
        <v>4</v>
      </c>
      <c r="I30" s="4"/>
      <c r="J30" s="177"/>
      <c r="K30" s="177"/>
      <c r="L30" s="177"/>
      <c r="M30" s="177"/>
      <c r="N30" s="177"/>
      <c r="O30" s="30"/>
      <c r="P30" s="9">
        <v>1</v>
      </c>
      <c r="Q30" s="5"/>
      <c r="R30" s="180">
        <v>10</v>
      </c>
      <c r="S30" s="2" t="s">
        <v>125</v>
      </c>
      <c r="W30" s="77"/>
    </row>
    <row r="31" spans="1:30" x14ac:dyDescent="0.2">
      <c r="A31" s="1"/>
      <c r="B31" s="9">
        <v>5</v>
      </c>
      <c r="C31" s="11">
        <v>6</v>
      </c>
      <c r="D31" s="11">
        <v>7</v>
      </c>
      <c r="E31" s="11">
        <v>8</v>
      </c>
      <c r="F31" s="11">
        <v>9</v>
      </c>
      <c r="G31" s="11">
        <v>10</v>
      </c>
      <c r="H31" s="9">
        <v>11</v>
      </c>
      <c r="I31" s="4"/>
      <c r="J31" s="9">
        <v>2</v>
      </c>
      <c r="K31" s="11">
        <v>3</v>
      </c>
      <c r="L31" s="11">
        <v>4</v>
      </c>
      <c r="M31" s="11">
        <v>5</v>
      </c>
      <c r="N31" s="11">
        <v>6</v>
      </c>
      <c r="O31" s="11">
        <v>7</v>
      </c>
      <c r="P31" s="9">
        <v>8</v>
      </c>
      <c r="Q31" s="5"/>
      <c r="R31" s="180">
        <v>11</v>
      </c>
      <c r="S31" s="2" t="s">
        <v>88</v>
      </c>
      <c r="U31" s="66" t="s">
        <v>126</v>
      </c>
    </row>
    <row r="32" spans="1:30" x14ac:dyDescent="0.2">
      <c r="A32" s="1"/>
      <c r="B32" s="9">
        <v>12</v>
      </c>
      <c r="C32" s="11">
        <v>13</v>
      </c>
      <c r="D32" s="11">
        <v>14</v>
      </c>
      <c r="E32" s="11">
        <v>15</v>
      </c>
      <c r="F32" s="11">
        <v>16</v>
      </c>
      <c r="G32" s="11">
        <v>17</v>
      </c>
      <c r="H32" s="9">
        <v>18</v>
      </c>
      <c r="I32" s="4"/>
      <c r="J32" s="9">
        <v>9</v>
      </c>
      <c r="K32" s="11">
        <v>10</v>
      </c>
      <c r="L32" s="11">
        <v>11</v>
      </c>
      <c r="M32" s="11">
        <v>12</v>
      </c>
      <c r="N32" s="11">
        <v>13</v>
      </c>
      <c r="O32" s="11">
        <v>14</v>
      </c>
      <c r="P32" s="9">
        <v>15</v>
      </c>
      <c r="Q32" s="5"/>
      <c r="R32" s="180">
        <v>12</v>
      </c>
      <c r="S32" s="2" t="s">
        <v>89</v>
      </c>
      <c r="T32" s="1"/>
      <c r="U32" s="179" t="s">
        <v>127</v>
      </c>
      <c r="V32" s="5"/>
    </row>
    <row r="33" spans="1:32" x14ac:dyDescent="0.2">
      <c r="A33" s="1"/>
      <c r="B33" s="9">
        <v>19</v>
      </c>
      <c r="C33" s="11">
        <v>20</v>
      </c>
      <c r="D33" s="11">
        <v>21</v>
      </c>
      <c r="E33" s="11">
        <v>22</v>
      </c>
      <c r="F33" s="11">
        <v>23</v>
      </c>
      <c r="G33" s="11">
        <v>24</v>
      </c>
      <c r="H33" s="9">
        <v>25</v>
      </c>
      <c r="I33" s="4"/>
      <c r="J33" s="9">
        <v>16</v>
      </c>
      <c r="K33" s="11">
        <v>17</v>
      </c>
      <c r="L33" s="11">
        <v>18</v>
      </c>
      <c r="M33" s="11">
        <v>19</v>
      </c>
      <c r="N33" s="11">
        <v>20</v>
      </c>
      <c r="O33" s="11">
        <v>21</v>
      </c>
      <c r="P33" s="9">
        <v>22</v>
      </c>
      <c r="Q33" s="5"/>
      <c r="R33" s="180">
        <v>13</v>
      </c>
      <c r="S33" s="2" t="s">
        <v>66</v>
      </c>
      <c r="T33" s="78"/>
      <c r="U33" s="181" t="s">
        <v>128</v>
      </c>
      <c r="V33" s="66"/>
    </row>
    <row r="34" spans="1:32" ht="15" x14ac:dyDescent="0.25">
      <c r="A34" s="1"/>
      <c r="B34" s="9">
        <v>26</v>
      </c>
      <c r="C34" s="11">
        <v>27</v>
      </c>
      <c r="D34" s="12">
        <v>28</v>
      </c>
      <c r="E34" s="12">
        <v>29</v>
      </c>
      <c r="F34" s="12">
        <v>30</v>
      </c>
      <c r="G34" s="12">
        <v>31</v>
      </c>
      <c r="H34" s="177"/>
      <c r="I34" s="4"/>
      <c r="J34" s="9">
        <v>23</v>
      </c>
      <c r="K34" s="11">
        <v>24</v>
      </c>
      <c r="L34" s="11">
        <v>25</v>
      </c>
      <c r="M34" s="11">
        <v>26</v>
      </c>
      <c r="N34" s="11">
        <v>27</v>
      </c>
      <c r="O34" s="11">
        <v>28</v>
      </c>
      <c r="P34" s="9">
        <v>29</v>
      </c>
      <c r="Q34" s="5"/>
      <c r="R34" s="180">
        <v>14</v>
      </c>
      <c r="S34" s="2" t="s">
        <v>90</v>
      </c>
      <c r="T34" s="1"/>
      <c r="U34" s="305">
        <v>94885806</v>
      </c>
      <c r="V34" s="305"/>
      <c r="W34" s="5"/>
    </row>
    <row r="35" spans="1:32" x14ac:dyDescent="0.2">
      <c r="A35" s="1"/>
      <c r="B35" s="16"/>
      <c r="C35" s="14"/>
      <c r="D35" s="14"/>
      <c r="E35" s="14"/>
      <c r="F35" s="14"/>
      <c r="G35" s="14"/>
      <c r="H35" s="16"/>
      <c r="I35" s="4"/>
      <c r="J35" s="9">
        <v>30</v>
      </c>
      <c r="K35" s="27">
        <v>31</v>
      </c>
      <c r="L35" s="321"/>
      <c r="M35" s="314"/>
      <c r="N35" s="314"/>
      <c r="O35" s="314"/>
      <c r="P35" s="314"/>
      <c r="Q35" s="5"/>
      <c r="R35" s="180">
        <v>15</v>
      </c>
      <c r="S35" s="2" t="s">
        <v>91</v>
      </c>
      <c r="T35" s="78"/>
      <c r="U35" s="17" t="s">
        <v>129</v>
      </c>
      <c r="V35" s="182"/>
    </row>
    <row r="36" spans="1:32" ht="15.75" customHeight="1" x14ac:dyDescent="0.2">
      <c r="A36" s="1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R36" s="180">
        <v>16</v>
      </c>
      <c r="S36" s="2" t="s">
        <v>92</v>
      </c>
      <c r="T36" s="78"/>
      <c r="U36" s="76" t="s">
        <v>130</v>
      </c>
    </row>
    <row r="37" spans="1:32" x14ac:dyDescent="0.2">
      <c r="A37" s="1"/>
      <c r="B37" s="312" t="s">
        <v>13</v>
      </c>
      <c r="C37" s="312"/>
      <c r="D37" s="312"/>
      <c r="E37" s="312"/>
      <c r="F37" s="312"/>
      <c r="G37" s="312"/>
      <c r="H37" s="312"/>
      <c r="I37" s="4"/>
      <c r="J37" s="312" t="s">
        <v>14</v>
      </c>
      <c r="K37" s="312"/>
      <c r="L37" s="312"/>
      <c r="M37" s="312"/>
      <c r="N37" s="312"/>
      <c r="O37" s="312"/>
      <c r="P37" s="312"/>
      <c r="Q37" s="5"/>
      <c r="R37" s="180">
        <v>17</v>
      </c>
      <c r="S37" s="2" t="s">
        <v>101</v>
      </c>
      <c r="U37" s="183" t="s">
        <v>131</v>
      </c>
    </row>
    <row r="38" spans="1:32" x14ac:dyDescent="0.2">
      <c r="A38" s="1"/>
      <c r="B38" s="6" t="s">
        <v>2</v>
      </c>
      <c r="C38" s="6" t="s">
        <v>3</v>
      </c>
      <c r="D38" s="6" t="s">
        <v>4</v>
      </c>
      <c r="E38" s="6" t="s">
        <v>5</v>
      </c>
      <c r="F38" s="6" t="s">
        <v>4</v>
      </c>
      <c r="G38" s="6" t="s">
        <v>6</v>
      </c>
      <c r="H38" s="6" t="s">
        <v>2</v>
      </c>
      <c r="I38" s="4"/>
      <c r="J38" s="6" t="s">
        <v>2</v>
      </c>
      <c r="K38" s="6" t="s">
        <v>3</v>
      </c>
      <c r="L38" s="6" t="s">
        <v>4</v>
      </c>
      <c r="M38" s="6" t="s">
        <v>5</v>
      </c>
      <c r="N38" s="6" t="s">
        <v>4</v>
      </c>
      <c r="O38" s="6" t="s">
        <v>6</v>
      </c>
      <c r="P38" s="6" t="s">
        <v>2</v>
      </c>
      <c r="Q38" s="5"/>
      <c r="R38" s="180">
        <v>18</v>
      </c>
      <c r="S38" s="2" t="s">
        <v>102</v>
      </c>
      <c r="U38" s="79" t="s">
        <v>132</v>
      </c>
    </row>
    <row r="39" spans="1:32" x14ac:dyDescent="0.2">
      <c r="A39" s="1"/>
      <c r="B39" s="321"/>
      <c r="C39" s="314"/>
      <c r="D39" s="11">
        <v>1</v>
      </c>
      <c r="E39" s="11">
        <v>2</v>
      </c>
      <c r="F39" s="11">
        <v>3</v>
      </c>
      <c r="G39" s="8">
        <v>4</v>
      </c>
      <c r="H39" s="9">
        <v>5</v>
      </c>
      <c r="I39" s="4"/>
      <c r="J39" s="321"/>
      <c r="K39" s="321"/>
      <c r="L39" s="321"/>
      <c r="M39" s="321"/>
      <c r="N39" s="11">
        <v>1</v>
      </c>
      <c r="O39" s="11">
        <v>2</v>
      </c>
      <c r="P39" s="9">
        <v>3</v>
      </c>
      <c r="Q39" s="5"/>
    </row>
    <row r="40" spans="1:32" ht="15.75" x14ac:dyDescent="0.25">
      <c r="A40" s="1"/>
      <c r="B40" s="9">
        <v>6</v>
      </c>
      <c r="C40" s="11">
        <v>7</v>
      </c>
      <c r="D40" s="11">
        <v>8</v>
      </c>
      <c r="E40" s="11">
        <v>9</v>
      </c>
      <c r="F40" s="11">
        <v>10</v>
      </c>
      <c r="G40" s="11">
        <v>11</v>
      </c>
      <c r="H40" s="9">
        <v>12</v>
      </c>
      <c r="I40" s="4"/>
      <c r="J40" s="9">
        <v>4</v>
      </c>
      <c r="K40" s="11">
        <v>5</v>
      </c>
      <c r="L40" s="11">
        <v>6</v>
      </c>
      <c r="M40" s="11">
        <v>7</v>
      </c>
      <c r="N40" s="11">
        <v>8</v>
      </c>
      <c r="O40" s="11">
        <v>9</v>
      </c>
      <c r="P40" s="9">
        <v>10</v>
      </c>
      <c r="Q40" s="5"/>
      <c r="S40" s="74" t="s">
        <v>115</v>
      </c>
    </row>
    <row r="41" spans="1:32" ht="19.5" customHeight="1" x14ac:dyDescent="0.2">
      <c r="A41" s="1"/>
      <c r="B41" s="9">
        <v>13</v>
      </c>
      <c r="C41" s="11">
        <v>14</v>
      </c>
      <c r="D41" s="11">
        <v>15</v>
      </c>
      <c r="E41" s="11">
        <v>16</v>
      </c>
      <c r="F41" s="11">
        <v>17</v>
      </c>
      <c r="G41" s="11">
        <v>18</v>
      </c>
      <c r="H41" s="9">
        <v>19</v>
      </c>
      <c r="I41" s="4"/>
      <c r="J41" s="9">
        <v>11</v>
      </c>
      <c r="K41" s="11">
        <v>12</v>
      </c>
      <c r="L41" s="11">
        <v>13</v>
      </c>
      <c r="M41" s="11">
        <v>14</v>
      </c>
      <c r="N41" s="11">
        <v>15</v>
      </c>
      <c r="O41" s="11">
        <v>16</v>
      </c>
      <c r="P41" s="9">
        <v>17</v>
      </c>
      <c r="Q41" s="5"/>
      <c r="S41" s="148" t="s">
        <v>43</v>
      </c>
      <c r="T41" s="148" t="s">
        <v>107</v>
      </c>
      <c r="U41" s="148" t="s">
        <v>108</v>
      </c>
      <c r="V41" s="148" t="s">
        <v>110</v>
      </c>
      <c r="W41" s="148" t="s">
        <v>111</v>
      </c>
      <c r="X41" s="148"/>
      <c r="Y41" s="148"/>
      <c r="Z41" s="148" t="s">
        <v>109</v>
      </c>
      <c r="AA41" s="148" t="s">
        <v>112</v>
      </c>
      <c r="AB41" s="148" t="s">
        <v>113</v>
      </c>
      <c r="AC41" s="148" t="s">
        <v>114</v>
      </c>
    </row>
    <row r="42" spans="1:32" ht="15" customHeight="1" x14ac:dyDescent="0.2">
      <c r="A42" s="1"/>
      <c r="B42" s="9">
        <v>20</v>
      </c>
      <c r="C42" s="11">
        <v>21</v>
      </c>
      <c r="D42" s="11">
        <v>22</v>
      </c>
      <c r="E42" s="11">
        <v>23</v>
      </c>
      <c r="F42" s="11">
        <v>24</v>
      </c>
      <c r="G42" s="11">
        <v>25</v>
      </c>
      <c r="H42" s="9">
        <v>26</v>
      </c>
      <c r="I42" s="4"/>
      <c r="J42" s="9">
        <v>18</v>
      </c>
      <c r="K42" s="11">
        <v>19</v>
      </c>
      <c r="L42" s="11">
        <v>20</v>
      </c>
      <c r="M42" s="11">
        <v>21</v>
      </c>
      <c r="N42" s="11">
        <v>22</v>
      </c>
      <c r="O42" s="11">
        <v>23</v>
      </c>
      <c r="P42" s="9">
        <v>24</v>
      </c>
      <c r="Q42" s="5"/>
      <c r="S42" s="151"/>
      <c r="T42" s="149"/>
      <c r="U42" s="149"/>
      <c r="V42" s="149"/>
      <c r="W42" s="149"/>
      <c r="X42" s="149"/>
      <c r="Y42" s="149"/>
      <c r="Z42" s="149"/>
      <c r="AA42" s="149"/>
      <c r="AB42" s="149"/>
      <c r="AC42" s="152"/>
      <c r="AD42" s="150"/>
      <c r="AE42" s="150"/>
      <c r="AF42" s="150"/>
    </row>
    <row r="43" spans="1:32" x14ac:dyDescent="0.2">
      <c r="A43" s="1"/>
      <c r="B43" s="11">
        <v>27</v>
      </c>
      <c r="C43" s="11">
        <v>28</v>
      </c>
      <c r="D43" s="11">
        <v>29</v>
      </c>
      <c r="E43" s="11">
        <v>30</v>
      </c>
      <c r="F43" s="321"/>
      <c r="G43" s="314"/>
      <c r="H43" s="314"/>
      <c r="I43" s="4"/>
      <c r="J43" s="11">
        <v>25</v>
      </c>
      <c r="K43" s="11">
        <v>26</v>
      </c>
      <c r="L43" s="11">
        <v>27</v>
      </c>
      <c r="M43" s="11">
        <v>28</v>
      </c>
      <c r="N43" s="11">
        <v>29</v>
      </c>
      <c r="O43" s="11">
        <v>30</v>
      </c>
      <c r="P43" s="9">
        <v>31</v>
      </c>
      <c r="Q43" s="5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</row>
    <row r="44" spans="1:32" ht="14.25" customHeight="1" x14ac:dyDescent="0.2">
      <c r="A44" s="1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S44" s="73"/>
      <c r="T44" s="73"/>
      <c r="U44" s="73"/>
      <c r="V44" s="73"/>
      <c r="W44" s="73"/>
      <c r="X44" s="73"/>
      <c r="Y44" s="73"/>
      <c r="Z44" s="73"/>
      <c r="AA44" s="73"/>
      <c r="AB44" s="73"/>
      <c r="AC44" s="73"/>
    </row>
    <row r="45" spans="1:32" x14ac:dyDescent="0.2">
      <c r="A45" s="1"/>
      <c r="B45" s="312" t="s">
        <v>15</v>
      </c>
      <c r="C45" s="312"/>
      <c r="D45" s="312"/>
      <c r="E45" s="312"/>
      <c r="F45" s="312"/>
      <c r="G45" s="312"/>
      <c r="H45" s="312"/>
      <c r="I45" s="4"/>
      <c r="J45" s="312" t="s">
        <v>16</v>
      </c>
      <c r="K45" s="312"/>
      <c r="L45" s="312"/>
      <c r="M45" s="312"/>
      <c r="N45" s="312"/>
      <c r="O45" s="312"/>
      <c r="P45" s="312"/>
      <c r="Q45" s="5"/>
      <c r="S45" s="73"/>
      <c r="T45" s="73"/>
      <c r="U45" s="73"/>
      <c r="V45" s="73"/>
      <c r="W45" s="73"/>
      <c r="X45" s="73"/>
      <c r="Y45" s="73"/>
      <c r="Z45" s="73"/>
      <c r="AA45" s="73"/>
      <c r="AB45" s="73"/>
      <c r="AC45" s="73"/>
    </row>
    <row r="46" spans="1:32" x14ac:dyDescent="0.2">
      <c r="A46" s="1"/>
      <c r="B46" s="6" t="s">
        <v>2</v>
      </c>
      <c r="C46" s="6" t="s">
        <v>3</v>
      </c>
      <c r="D46" s="6" t="s">
        <v>4</v>
      </c>
      <c r="E46" s="6" t="s">
        <v>5</v>
      </c>
      <c r="F46" s="6" t="s">
        <v>4</v>
      </c>
      <c r="G46" s="6" t="s">
        <v>6</v>
      </c>
      <c r="H46" s="6" t="s">
        <v>2</v>
      </c>
      <c r="I46" s="4"/>
      <c r="J46" s="6" t="s">
        <v>2</v>
      </c>
      <c r="K46" s="6" t="s">
        <v>3</v>
      </c>
      <c r="L46" s="6" t="s">
        <v>4</v>
      </c>
      <c r="M46" s="6" t="s">
        <v>5</v>
      </c>
      <c r="N46" s="6" t="s">
        <v>4</v>
      </c>
      <c r="O46" s="6" t="s">
        <v>6</v>
      </c>
      <c r="P46" s="6" t="s">
        <v>2</v>
      </c>
      <c r="Q46" s="5"/>
      <c r="S46" s="73"/>
      <c r="T46" s="73"/>
      <c r="U46" s="73"/>
      <c r="V46" s="73"/>
      <c r="W46" s="73"/>
      <c r="X46" s="73"/>
      <c r="Y46" s="73"/>
      <c r="Z46" s="73"/>
      <c r="AA46" s="73"/>
      <c r="AB46" s="73"/>
      <c r="AC46" s="73"/>
    </row>
    <row r="47" spans="1:32" x14ac:dyDescent="0.2">
      <c r="A47" s="1"/>
      <c r="B47" s="9">
        <v>1</v>
      </c>
      <c r="C47" s="11">
        <v>2</v>
      </c>
      <c r="D47" s="11">
        <v>3</v>
      </c>
      <c r="E47" s="11">
        <v>4</v>
      </c>
      <c r="F47" s="11">
        <v>5</v>
      </c>
      <c r="G47" s="11">
        <v>6</v>
      </c>
      <c r="H47" s="11">
        <v>7</v>
      </c>
      <c r="I47" s="4"/>
      <c r="J47" s="321"/>
      <c r="K47" s="314"/>
      <c r="L47" s="11">
        <v>1</v>
      </c>
      <c r="M47" s="11">
        <v>2</v>
      </c>
      <c r="N47" s="11">
        <v>3</v>
      </c>
      <c r="O47" s="8">
        <v>4</v>
      </c>
      <c r="P47" s="9">
        <v>5</v>
      </c>
      <c r="Q47" s="5"/>
    </row>
    <row r="48" spans="1:32" x14ac:dyDescent="0.2">
      <c r="A48" s="1"/>
      <c r="B48" s="9">
        <v>8</v>
      </c>
      <c r="C48" s="11">
        <v>9</v>
      </c>
      <c r="D48" s="11">
        <v>10</v>
      </c>
      <c r="E48" s="11">
        <v>11</v>
      </c>
      <c r="F48" s="11">
        <v>12</v>
      </c>
      <c r="G48" s="11">
        <v>13</v>
      </c>
      <c r="H48" s="9">
        <v>14</v>
      </c>
      <c r="I48" s="4"/>
      <c r="J48" s="32">
        <v>6</v>
      </c>
      <c r="K48" s="32">
        <v>7</v>
      </c>
      <c r="L48" s="32">
        <v>8</v>
      </c>
      <c r="M48" s="32">
        <v>9</v>
      </c>
      <c r="N48" s="32">
        <v>10</v>
      </c>
      <c r="O48" s="32">
        <v>11</v>
      </c>
      <c r="P48" s="32">
        <v>12</v>
      </c>
      <c r="Q48" s="5"/>
    </row>
    <row r="49" spans="1:17" x14ac:dyDescent="0.2">
      <c r="A49" s="1"/>
      <c r="B49" s="9">
        <v>15</v>
      </c>
      <c r="C49" s="11">
        <v>16</v>
      </c>
      <c r="D49" s="11">
        <v>17</v>
      </c>
      <c r="E49" s="11">
        <v>18</v>
      </c>
      <c r="F49" s="11">
        <v>19</v>
      </c>
      <c r="G49" s="11">
        <v>20</v>
      </c>
      <c r="H49" s="9">
        <v>21</v>
      </c>
      <c r="I49" s="4"/>
      <c r="J49" s="32">
        <v>13</v>
      </c>
      <c r="K49" s="32">
        <v>14</v>
      </c>
      <c r="L49" s="32">
        <v>15</v>
      </c>
      <c r="M49" s="32">
        <v>16</v>
      </c>
      <c r="N49" s="32">
        <v>17</v>
      </c>
      <c r="O49" s="32">
        <v>18</v>
      </c>
      <c r="P49" s="32">
        <v>19</v>
      </c>
      <c r="Q49" s="5"/>
    </row>
    <row r="50" spans="1:17" x14ac:dyDescent="0.2">
      <c r="A50" s="1"/>
      <c r="B50" s="9">
        <v>22</v>
      </c>
      <c r="C50" s="11">
        <v>23</v>
      </c>
      <c r="D50" s="11">
        <v>24</v>
      </c>
      <c r="E50" s="11">
        <v>25</v>
      </c>
      <c r="F50" s="11">
        <v>26</v>
      </c>
      <c r="G50" s="11">
        <v>27</v>
      </c>
      <c r="H50" s="9">
        <v>28</v>
      </c>
      <c r="I50" s="4"/>
      <c r="J50" s="32">
        <v>20</v>
      </c>
      <c r="K50" s="32">
        <v>21</v>
      </c>
      <c r="L50" s="32">
        <v>22</v>
      </c>
      <c r="M50" s="32">
        <v>23</v>
      </c>
      <c r="N50" s="32">
        <v>24</v>
      </c>
      <c r="O50" s="32">
        <v>25</v>
      </c>
      <c r="P50" s="32">
        <v>26</v>
      </c>
      <c r="Q50" s="5"/>
    </row>
    <row r="51" spans="1:17" x14ac:dyDescent="0.2">
      <c r="A51" s="1"/>
      <c r="B51" s="9">
        <v>29</v>
      </c>
      <c r="C51" s="11">
        <v>30</v>
      </c>
      <c r="D51" s="321"/>
      <c r="E51" s="314"/>
      <c r="F51" s="314"/>
      <c r="G51" s="314"/>
      <c r="H51" s="314"/>
      <c r="I51" s="4"/>
      <c r="J51" s="178">
        <v>27</v>
      </c>
      <c r="K51" s="32">
        <v>28</v>
      </c>
      <c r="L51" s="32">
        <v>29</v>
      </c>
      <c r="M51" s="32">
        <v>30</v>
      </c>
      <c r="N51" s="32">
        <v>31</v>
      </c>
      <c r="O51" s="324"/>
      <c r="P51" s="324"/>
      <c r="Q51" s="5"/>
    </row>
    <row r="52" spans="1:17" x14ac:dyDescent="0.2">
      <c r="A52" s="1"/>
      <c r="B52" s="31"/>
      <c r="C52" s="31"/>
      <c r="D52" s="31"/>
      <c r="E52" s="31"/>
      <c r="F52" s="31"/>
      <c r="G52" s="31"/>
      <c r="H52" s="31"/>
      <c r="I52" s="23"/>
      <c r="J52" s="20"/>
      <c r="K52" s="20"/>
      <c r="L52" s="20"/>
      <c r="M52" s="20"/>
      <c r="N52" s="20"/>
      <c r="O52" s="20"/>
      <c r="P52" s="20"/>
      <c r="Q52" s="5"/>
    </row>
    <row r="53" spans="1:17" x14ac:dyDescent="0.2">
      <c r="B53" s="17"/>
      <c r="C53" s="17"/>
      <c r="D53" s="17"/>
      <c r="E53" s="17"/>
      <c r="F53" s="17"/>
      <c r="G53" s="17"/>
      <c r="H53" s="17"/>
    </row>
  </sheetData>
  <mergeCells count="35">
    <mergeCell ref="X5:Y5"/>
    <mergeCell ref="X6:Y6"/>
    <mergeCell ref="X7:Y7"/>
    <mergeCell ref="D51:H51"/>
    <mergeCell ref="J47:K47"/>
    <mergeCell ref="O51:P51"/>
    <mergeCell ref="J13:L13"/>
    <mergeCell ref="O17:P17"/>
    <mergeCell ref="B21:F21"/>
    <mergeCell ref="C26:H26"/>
    <mergeCell ref="M25:P25"/>
    <mergeCell ref="B30:D30"/>
    <mergeCell ref="B28:H28"/>
    <mergeCell ref="J28:P28"/>
    <mergeCell ref="B37:H37"/>
    <mergeCell ref="J37:P37"/>
    <mergeCell ref="B45:H45"/>
    <mergeCell ref="J45:P45"/>
    <mergeCell ref="L35:P35"/>
    <mergeCell ref="B39:C39"/>
    <mergeCell ref="F43:H43"/>
    <mergeCell ref="J39:M39"/>
    <mergeCell ref="J9:P9"/>
    <mergeCell ref="B5:E5"/>
    <mergeCell ref="E17:H17"/>
    <mergeCell ref="B1:P1"/>
    <mergeCell ref="B3:H3"/>
    <mergeCell ref="J3:P3"/>
    <mergeCell ref="B11:H11"/>
    <mergeCell ref="J11:P11"/>
    <mergeCell ref="U34:V34"/>
    <mergeCell ref="S16:S17"/>
    <mergeCell ref="T16:U17"/>
    <mergeCell ref="B19:H19"/>
    <mergeCell ref="J19:P19"/>
  </mergeCells>
  <hyperlinks>
    <hyperlink ref="U37" r:id="rId1"/>
  </hyperlinks>
  <printOptions horizontalCentered="1"/>
  <pageMargins left="0.75" right="0.75" top="0.75" bottom="0.5" header="0.5" footer="0.5"/>
  <pageSetup orientation="portrait" horizontalDpi="300" verticalDpi="300" r:id="rId2"/>
  <headerFooter alignWithMargins="0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FFFF00"/>
  </sheetPr>
  <dimension ref="A1:AJ67"/>
  <sheetViews>
    <sheetView topLeftCell="A34" workbookViewId="0">
      <selection activeCell="B51" sqref="B51:G51"/>
    </sheetView>
  </sheetViews>
  <sheetFormatPr defaultColWidth="9.140625" defaultRowHeight="12.75" x14ac:dyDescent="0.2"/>
  <cols>
    <col min="1" max="1" width="1.28515625" style="2" customWidth="1"/>
    <col min="2" max="8" width="5.140625" style="2" customWidth="1"/>
    <col min="9" max="9" width="5.7109375" style="2" customWidth="1"/>
    <col min="10" max="16" width="5.140625" style="2" customWidth="1"/>
    <col min="17" max="17" width="1.28515625" style="2" customWidth="1"/>
    <col min="18" max="18" width="3.42578125" style="2" customWidth="1"/>
    <col min="19" max="19" width="4.7109375" style="2" customWidth="1"/>
    <col min="20" max="21" width="11.7109375" style="2" customWidth="1"/>
    <col min="22" max="22" width="11.42578125" style="2" customWidth="1"/>
    <col min="23" max="23" width="0" style="2" hidden="1" customWidth="1"/>
    <col min="24" max="24" width="5.42578125" style="2" hidden="1" customWidth="1"/>
    <col min="25" max="25" width="2.28515625" style="2" hidden="1" customWidth="1"/>
    <col min="26" max="26" width="11" style="2" customWidth="1"/>
    <col min="27" max="27" width="13.140625" style="2" customWidth="1"/>
    <col min="28" max="28" width="10" style="2" customWidth="1"/>
    <col min="29" max="29" width="11" style="2" customWidth="1"/>
    <col min="30" max="30" width="11.7109375" style="2" customWidth="1"/>
    <col min="31" max="31" width="46.7109375" style="2" customWidth="1"/>
    <col min="32" max="34" width="0" style="2" hidden="1" customWidth="1"/>
    <col min="35" max="16384" width="9.140625" style="2"/>
  </cols>
  <sheetData>
    <row r="1" spans="1:36" ht="26.1" customHeight="1" x14ac:dyDescent="0.2">
      <c r="A1" s="1"/>
      <c r="B1" s="318">
        <v>2016</v>
      </c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318"/>
      <c r="P1" s="319"/>
      <c r="S1" s="63" t="s">
        <v>133</v>
      </c>
      <c r="AA1" s="1"/>
      <c r="AE1" s="189"/>
      <c r="AF1" s="189"/>
      <c r="AG1" s="189"/>
      <c r="AH1" s="189"/>
      <c r="AI1" s="189"/>
    </row>
    <row r="2" spans="1:36" ht="13.5" customHeight="1" x14ac:dyDescent="0.25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R2" s="64"/>
      <c r="S2" s="65" t="s">
        <v>62</v>
      </c>
      <c r="AE2" s="194" t="s">
        <v>151</v>
      </c>
      <c r="AF2" s="189"/>
      <c r="AG2" s="189"/>
      <c r="AH2" s="189"/>
      <c r="AI2" s="189"/>
    </row>
    <row r="3" spans="1:36" x14ac:dyDescent="0.2">
      <c r="A3" s="1"/>
      <c r="B3" s="312" t="s">
        <v>0</v>
      </c>
      <c r="C3" s="312"/>
      <c r="D3" s="312"/>
      <c r="E3" s="312"/>
      <c r="F3" s="312"/>
      <c r="G3" s="312"/>
      <c r="H3" s="312"/>
      <c r="I3" s="4"/>
      <c r="J3" s="312" t="s">
        <v>1</v>
      </c>
      <c r="K3" s="312"/>
      <c r="L3" s="312"/>
      <c r="M3" s="312"/>
      <c r="N3" s="312"/>
      <c r="O3" s="312"/>
      <c r="P3" s="312"/>
      <c r="Q3" s="5"/>
      <c r="X3" s="66"/>
      <c r="Y3" s="66"/>
      <c r="Z3" s="66"/>
      <c r="AA3" s="66"/>
      <c r="AE3" s="193"/>
      <c r="AF3" s="193"/>
      <c r="AG3" s="193"/>
      <c r="AH3" s="193"/>
      <c r="AI3" s="193"/>
    </row>
    <row r="4" spans="1:36" ht="13.5" thickBot="1" x14ac:dyDescent="0.25">
      <c r="A4" s="1"/>
      <c r="B4" s="6" t="s">
        <v>2</v>
      </c>
      <c r="C4" s="6" t="s">
        <v>3</v>
      </c>
      <c r="D4" s="6" t="s">
        <v>4</v>
      </c>
      <c r="E4" s="6" t="s">
        <v>5</v>
      </c>
      <c r="F4" s="6" t="s">
        <v>4</v>
      </c>
      <c r="G4" s="6" t="s">
        <v>6</v>
      </c>
      <c r="H4" s="6" t="s">
        <v>2</v>
      </c>
      <c r="I4" s="7"/>
      <c r="J4" s="6" t="s">
        <v>2</v>
      </c>
      <c r="K4" s="6" t="s">
        <v>3</v>
      </c>
      <c r="L4" s="6" t="s">
        <v>4</v>
      </c>
      <c r="M4" s="6" t="s">
        <v>5</v>
      </c>
      <c r="N4" s="6" t="s">
        <v>4</v>
      </c>
      <c r="O4" s="6" t="s">
        <v>6</v>
      </c>
      <c r="P4" s="6" t="s">
        <v>2</v>
      </c>
      <c r="Q4" s="5"/>
      <c r="V4" s="1"/>
      <c r="W4" s="1"/>
      <c r="X4" s="67" t="s">
        <v>24</v>
      </c>
      <c r="Y4" s="67"/>
      <c r="Z4" s="68" t="s">
        <v>63</v>
      </c>
      <c r="AA4" s="68" t="s">
        <v>64</v>
      </c>
      <c r="AB4" s="5"/>
      <c r="AE4" s="333" t="s">
        <v>140</v>
      </c>
      <c r="AF4" s="333"/>
      <c r="AG4" s="333"/>
      <c r="AH4" s="333"/>
      <c r="AI4" s="333"/>
      <c r="AJ4" s="5"/>
    </row>
    <row r="5" spans="1:36" ht="15" thickBot="1" x14ac:dyDescent="0.25">
      <c r="A5" s="1"/>
      <c r="B5" s="313"/>
      <c r="C5" s="314"/>
      <c r="D5" s="314"/>
      <c r="E5" s="314"/>
      <c r="F5" s="314"/>
      <c r="G5" s="8">
        <v>1</v>
      </c>
      <c r="H5" s="9">
        <v>2</v>
      </c>
      <c r="I5" s="7"/>
      <c r="J5" s="10"/>
      <c r="K5" s="11">
        <v>1</v>
      </c>
      <c r="L5" s="11">
        <v>2</v>
      </c>
      <c r="M5" s="11">
        <v>3</v>
      </c>
      <c r="N5" s="11">
        <v>4</v>
      </c>
      <c r="O5" s="11">
        <v>5</v>
      </c>
      <c r="P5" s="11">
        <v>6</v>
      </c>
      <c r="Q5" s="5"/>
      <c r="S5" s="184" t="s">
        <v>137</v>
      </c>
      <c r="T5" s="40" t="s">
        <v>17</v>
      </c>
      <c r="U5" s="40"/>
      <c r="V5" s="69"/>
      <c r="W5" s="1">
        <f>Z5/2</f>
        <v>0</v>
      </c>
      <c r="X5" s="322">
        <f ca="1">CountCellsByColor(A1:Q52,S5)</f>
        <v>27</v>
      </c>
      <c r="Y5" s="323"/>
      <c r="Z5" s="70"/>
      <c r="AA5" s="70">
        <f ca="1">X5-W5</f>
        <v>27</v>
      </c>
      <c r="AB5" s="5"/>
      <c r="AE5" s="190" t="s">
        <v>141</v>
      </c>
      <c r="AF5" s="191"/>
      <c r="AG5" s="191"/>
      <c r="AH5" s="191"/>
      <c r="AI5" s="192" t="s">
        <v>142</v>
      </c>
    </row>
    <row r="6" spans="1:36" ht="14.25" x14ac:dyDescent="0.2">
      <c r="A6" s="1"/>
      <c r="B6" s="9">
        <v>3</v>
      </c>
      <c r="C6" s="11">
        <v>4</v>
      </c>
      <c r="D6" s="11">
        <v>5</v>
      </c>
      <c r="E6" s="11">
        <v>6</v>
      </c>
      <c r="F6" s="11">
        <v>7</v>
      </c>
      <c r="G6" s="11">
        <v>8</v>
      </c>
      <c r="H6" s="9">
        <v>9</v>
      </c>
      <c r="I6" s="7"/>
      <c r="J6" s="9">
        <v>7</v>
      </c>
      <c r="K6" s="11">
        <v>8</v>
      </c>
      <c r="L6" s="11">
        <v>9</v>
      </c>
      <c r="M6" s="11">
        <v>10</v>
      </c>
      <c r="N6" s="11">
        <v>11</v>
      </c>
      <c r="O6" s="11">
        <v>12</v>
      </c>
      <c r="P6" s="9">
        <v>13</v>
      </c>
      <c r="Q6" s="5"/>
      <c r="S6" s="185" t="s">
        <v>37</v>
      </c>
      <c r="T6" s="40" t="s">
        <v>18</v>
      </c>
      <c r="U6" s="40"/>
      <c r="V6" s="69"/>
      <c r="W6" s="1">
        <f t="shared" ref="W6:W14" si="0">Z6/2</f>
        <v>0</v>
      </c>
      <c r="X6" s="322">
        <f ca="1">CountCellsByColor(A1:Q53,S6)</f>
        <v>1</v>
      </c>
      <c r="Y6" s="323"/>
      <c r="Z6" s="70"/>
      <c r="AA6" s="70">
        <f ca="1">X6-W6</f>
        <v>1</v>
      </c>
      <c r="AB6" s="5"/>
      <c r="AE6" s="195" t="s">
        <v>143</v>
      </c>
      <c r="AF6" s="195"/>
      <c r="AG6" s="195"/>
      <c r="AH6" s="195"/>
      <c r="AI6" s="196">
        <v>0.96058483797969529</v>
      </c>
    </row>
    <row r="7" spans="1:36" ht="14.25" x14ac:dyDescent="0.2">
      <c r="A7" s="1"/>
      <c r="B7" s="9">
        <v>10</v>
      </c>
      <c r="C7" s="295">
        <v>11</v>
      </c>
      <c r="D7" s="295">
        <v>12</v>
      </c>
      <c r="E7" s="11">
        <v>13</v>
      </c>
      <c r="F7" s="11">
        <v>14</v>
      </c>
      <c r="G7" s="11">
        <v>15</v>
      </c>
      <c r="H7" s="9">
        <v>16</v>
      </c>
      <c r="I7" s="7"/>
      <c r="J7" s="9">
        <v>14</v>
      </c>
      <c r="K7" s="11">
        <v>15</v>
      </c>
      <c r="L7" s="11">
        <v>16</v>
      </c>
      <c r="M7" s="11">
        <v>17</v>
      </c>
      <c r="N7" s="11">
        <v>18</v>
      </c>
      <c r="O7" s="11">
        <v>19</v>
      </c>
      <c r="P7" s="9">
        <v>20</v>
      </c>
      <c r="Q7" s="5"/>
      <c r="S7" s="186"/>
      <c r="T7" s="40" t="s">
        <v>19</v>
      </c>
      <c r="U7" s="40"/>
      <c r="V7" s="69"/>
      <c r="W7" s="1">
        <f t="shared" si="0"/>
        <v>0</v>
      </c>
      <c r="X7" s="322">
        <f ca="1">CountCellsByColor(A1:Q54,S7)</f>
        <v>15</v>
      </c>
      <c r="Y7" s="323"/>
      <c r="Z7" s="70"/>
      <c r="AA7" s="70">
        <f ca="1">X7-W7</f>
        <v>15</v>
      </c>
      <c r="AB7" s="5"/>
      <c r="AE7" s="197" t="s">
        <v>144</v>
      </c>
      <c r="AF7" s="197"/>
      <c r="AG7" s="197"/>
      <c r="AH7" s="197"/>
      <c r="AI7" s="198">
        <v>4.6332291669386905E-2</v>
      </c>
    </row>
    <row r="8" spans="1:36" ht="14.25" x14ac:dyDescent="0.2">
      <c r="A8" s="1"/>
      <c r="B8" s="9">
        <v>17</v>
      </c>
      <c r="C8" s="11">
        <v>18</v>
      </c>
      <c r="D8" s="11">
        <v>19</v>
      </c>
      <c r="E8" s="11">
        <v>20</v>
      </c>
      <c r="F8" s="11">
        <v>21</v>
      </c>
      <c r="G8" s="11">
        <v>22</v>
      </c>
      <c r="H8" s="9">
        <v>23</v>
      </c>
      <c r="I8" s="7"/>
      <c r="J8" s="9">
        <v>21</v>
      </c>
      <c r="K8" s="11">
        <v>22</v>
      </c>
      <c r="L8" s="11">
        <v>23</v>
      </c>
      <c r="M8" s="11">
        <v>24</v>
      </c>
      <c r="N8" s="11">
        <v>25</v>
      </c>
      <c r="O8" s="11">
        <v>26</v>
      </c>
      <c r="P8" s="9">
        <v>27</v>
      </c>
      <c r="Q8" s="5"/>
      <c r="S8" s="187" t="s">
        <v>138</v>
      </c>
      <c r="T8" s="40"/>
      <c r="U8" s="40"/>
      <c r="V8" s="69"/>
      <c r="W8" s="1">
        <f t="shared" si="0"/>
        <v>0</v>
      </c>
      <c r="X8" s="71"/>
      <c r="Y8" s="71"/>
      <c r="Z8" s="72"/>
      <c r="AA8" s="72"/>
      <c r="AB8" s="5"/>
      <c r="AE8" s="197" t="s">
        <v>145</v>
      </c>
      <c r="AF8" s="197"/>
      <c r="AG8" s="197"/>
      <c r="AH8" s="197"/>
      <c r="AI8" s="198">
        <v>0.9672083333386885</v>
      </c>
    </row>
    <row r="9" spans="1:36" ht="14.25" x14ac:dyDescent="0.2">
      <c r="A9" s="1"/>
      <c r="B9" s="32">
        <v>24</v>
      </c>
      <c r="C9" s="32">
        <v>25</v>
      </c>
      <c r="D9" s="32">
        <v>26</v>
      </c>
      <c r="E9" s="11">
        <v>27</v>
      </c>
      <c r="F9" s="11">
        <v>28</v>
      </c>
      <c r="G9" s="11">
        <v>29</v>
      </c>
      <c r="H9" s="9">
        <v>30</v>
      </c>
      <c r="I9" s="7"/>
      <c r="J9" s="12">
        <v>28</v>
      </c>
      <c r="K9" s="32">
        <v>29</v>
      </c>
      <c r="L9" s="329"/>
      <c r="M9" s="330"/>
      <c r="N9" s="330"/>
      <c r="O9" s="330"/>
      <c r="P9" s="326"/>
      <c r="Q9" s="5"/>
      <c r="S9" s="188" t="s">
        <v>139</v>
      </c>
      <c r="T9" s="40" t="s">
        <v>20</v>
      </c>
      <c r="U9" s="40"/>
      <c r="V9" s="69"/>
      <c r="W9" s="1">
        <f t="shared" si="0"/>
        <v>0</v>
      </c>
      <c r="X9" s="71"/>
      <c r="Y9" s="71"/>
      <c r="Z9" s="72"/>
      <c r="AA9" s="72"/>
      <c r="AB9" s="5"/>
      <c r="AE9" s="199" t="s">
        <v>146</v>
      </c>
      <c r="AF9" s="199"/>
      <c r="AG9" s="199"/>
      <c r="AH9" s="199"/>
      <c r="AI9" s="200">
        <v>9.7112615731020924E-2</v>
      </c>
    </row>
    <row r="10" spans="1:36" ht="14.25" x14ac:dyDescent="0.2">
      <c r="A10" s="1"/>
      <c r="B10" s="11">
        <v>31</v>
      </c>
      <c r="C10" s="321"/>
      <c r="D10" s="314"/>
      <c r="E10" s="314"/>
      <c r="F10" s="314"/>
      <c r="G10" s="314"/>
      <c r="H10" s="314"/>
      <c r="I10" s="13"/>
      <c r="J10" s="4"/>
      <c r="K10" s="14"/>
      <c r="L10" s="15"/>
      <c r="M10" s="15"/>
      <c r="N10" s="15"/>
      <c r="O10" s="15"/>
      <c r="P10" s="15"/>
      <c r="T10" s="40"/>
      <c r="U10" s="40"/>
      <c r="V10" s="69"/>
      <c r="W10" s="1">
        <f t="shared" si="0"/>
        <v>0</v>
      </c>
      <c r="X10" s="71"/>
      <c r="Y10" s="71"/>
      <c r="Z10" s="72"/>
      <c r="AA10" s="72"/>
      <c r="AB10" s="5"/>
      <c r="AE10" s="199" t="s">
        <v>147</v>
      </c>
      <c r="AF10" s="199"/>
      <c r="AG10" s="199"/>
      <c r="AH10" s="199"/>
      <c r="AI10" s="200">
        <v>0.62100671295775101</v>
      </c>
    </row>
    <row r="11" spans="1:36" ht="12" customHeight="1" x14ac:dyDescent="0.2">
      <c r="A11" s="1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S11" s="42"/>
      <c r="T11" s="40"/>
      <c r="U11" s="40"/>
      <c r="V11" s="69"/>
      <c r="W11" s="1">
        <f t="shared" si="0"/>
        <v>0</v>
      </c>
      <c r="X11" s="71"/>
      <c r="Y11" s="71"/>
      <c r="Z11" s="72"/>
      <c r="AA11" s="72"/>
      <c r="AB11" s="5"/>
      <c r="AE11" s="199" t="s">
        <v>148</v>
      </c>
      <c r="AF11" s="199"/>
      <c r="AG11" s="199"/>
      <c r="AH11" s="199"/>
      <c r="AI11" s="200">
        <v>8.1195486112846993E-2</v>
      </c>
    </row>
    <row r="12" spans="1:36" ht="15" thickBot="1" x14ac:dyDescent="0.25">
      <c r="A12" s="1"/>
      <c r="B12" s="312" t="s">
        <v>7</v>
      </c>
      <c r="C12" s="312"/>
      <c r="D12" s="312"/>
      <c r="E12" s="312"/>
      <c r="F12" s="312"/>
      <c r="G12" s="312"/>
      <c r="H12" s="312"/>
      <c r="I12" s="4"/>
      <c r="J12" s="312" t="s">
        <v>8</v>
      </c>
      <c r="K12" s="312"/>
      <c r="L12" s="312"/>
      <c r="M12" s="312"/>
      <c r="N12" s="312"/>
      <c r="O12" s="312"/>
      <c r="P12" s="312"/>
      <c r="Q12" s="5"/>
      <c r="S12" s="43"/>
      <c r="T12" s="40" t="s">
        <v>21</v>
      </c>
      <c r="V12" s="1"/>
      <c r="W12" s="1">
        <f t="shared" si="0"/>
        <v>0</v>
      </c>
      <c r="X12" s="73">
        <f ca="1">CountCellsByColor(B1:R59,S12)</f>
        <v>0</v>
      </c>
      <c r="Y12" s="73"/>
      <c r="Z12" s="70"/>
      <c r="AA12" s="70">
        <f ca="1">X12-W12</f>
        <v>0</v>
      </c>
      <c r="AB12" s="5"/>
      <c r="AE12" s="201"/>
      <c r="AF12" s="201"/>
      <c r="AG12" s="201"/>
      <c r="AH12" s="201"/>
      <c r="AI12" s="202">
        <f>SUM(AI6:AI11)</f>
        <v>2.7734402777893896</v>
      </c>
      <c r="AJ12" s="189"/>
    </row>
    <row r="13" spans="1:36" ht="15" thickTop="1" x14ac:dyDescent="0.2">
      <c r="A13" s="1"/>
      <c r="B13" s="6" t="s">
        <v>2</v>
      </c>
      <c r="C13" s="6" t="s">
        <v>3</v>
      </c>
      <c r="D13" s="6" t="s">
        <v>4</v>
      </c>
      <c r="E13" s="6" t="s">
        <v>5</v>
      </c>
      <c r="F13" s="6" t="s">
        <v>4</v>
      </c>
      <c r="G13" s="6" t="s">
        <v>6</v>
      </c>
      <c r="H13" s="6" t="s">
        <v>2</v>
      </c>
      <c r="I13" s="4"/>
      <c r="J13" s="6" t="s">
        <v>2</v>
      </c>
      <c r="K13" s="6" t="s">
        <v>3</v>
      </c>
      <c r="L13" s="6" t="s">
        <v>4</v>
      </c>
      <c r="M13" s="6" t="s">
        <v>5</v>
      </c>
      <c r="N13" s="6" t="s">
        <v>4</v>
      </c>
      <c r="O13" s="6" t="s">
        <v>6</v>
      </c>
      <c r="P13" s="6" t="s">
        <v>2</v>
      </c>
      <c r="Q13" s="5"/>
      <c r="S13" s="44"/>
      <c r="T13" s="40" t="s">
        <v>22</v>
      </c>
      <c r="V13" s="1"/>
      <c r="W13" s="1">
        <f t="shared" si="0"/>
        <v>0</v>
      </c>
      <c r="X13" s="73">
        <f ca="1">CountCellsByColor(A1:R60,S13)</f>
        <v>0</v>
      </c>
      <c r="Y13" s="73"/>
      <c r="Z13" s="70"/>
      <c r="AA13" s="70">
        <f ca="1">X13-W13</f>
        <v>0</v>
      </c>
      <c r="AB13" s="5"/>
      <c r="AE13" s="201"/>
      <c r="AF13" s="201"/>
      <c r="AG13" s="201"/>
      <c r="AH13" s="201"/>
      <c r="AI13" s="203"/>
      <c r="AJ13" s="189"/>
    </row>
    <row r="14" spans="1:36" x14ac:dyDescent="0.2">
      <c r="A14" s="1"/>
      <c r="B14" s="321"/>
      <c r="C14" s="314"/>
      <c r="D14" s="11">
        <v>1</v>
      </c>
      <c r="E14" s="11">
        <v>2</v>
      </c>
      <c r="F14" s="11">
        <v>3</v>
      </c>
      <c r="G14" s="8">
        <v>4</v>
      </c>
      <c r="H14" s="9">
        <v>5</v>
      </c>
      <c r="I14" s="4"/>
      <c r="J14" s="321"/>
      <c r="K14" s="314"/>
      <c r="L14" s="314"/>
      <c r="M14" s="314"/>
      <c r="N14" s="314"/>
      <c r="O14" s="11">
        <v>1</v>
      </c>
      <c r="P14" s="11">
        <v>2</v>
      </c>
      <c r="Q14" s="5"/>
      <c r="S14" s="80"/>
      <c r="T14" s="2" t="s">
        <v>77</v>
      </c>
      <c r="W14" s="1">
        <f t="shared" si="0"/>
        <v>0</v>
      </c>
      <c r="X14" s="73">
        <f ca="1">CountCellsByColor(A1:R61,S14)</f>
        <v>0</v>
      </c>
      <c r="Y14" s="73"/>
      <c r="Z14" s="73"/>
      <c r="AA14" s="70">
        <f ca="1">X14-W14</f>
        <v>0</v>
      </c>
      <c r="AB14" s="5"/>
      <c r="AE14" s="201"/>
      <c r="AF14" s="201"/>
      <c r="AG14" s="201"/>
      <c r="AH14" s="201"/>
      <c r="AI14" s="203"/>
      <c r="AJ14" s="189"/>
    </row>
    <row r="15" spans="1:36" ht="15" thickBot="1" x14ac:dyDescent="0.25">
      <c r="A15" s="1"/>
      <c r="B15" s="9">
        <v>6</v>
      </c>
      <c r="C15" s="11">
        <v>7</v>
      </c>
      <c r="D15" s="11">
        <v>8</v>
      </c>
      <c r="E15" s="11">
        <v>9</v>
      </c>
      <c r="F15" s="11">
        <v>10</v>
      </c>
      <c r="G15" s="11">
        <v>11</v>
      </c>
      <c r="H15" s="9">
        <v>12</v>
      </c>
      <c r="I15" s="4"/>
      <c r="J15" s="9">
        <v>3</v>
      </c>
      <c r="K15" s="11">
        <v>4</v>
      </c>
      <c r="L15" s="11">
        <v>5</v>
      </c>
      <c r="M15" s="11">
        <v>6</v>
      </c>
      <c r="N15" s="11">
        <v>7</v>
      </c>
      <c r="O15" s="11">
        <v>8</v>
      </c>
      <c r="P15" s="9">
        <v>9</v>
      </c>
      <c r="Q15" s="5"/>
      <c r="S15" s="137"/>
      <c r="T15" s="40" t="s">
        <v>94</v>
      </c>
      <c r="W15" s="1">
        <f>Z15/2</f>
        <v>0</v>
      </c>
      <c r="X15" s="73">
        <f ca="1">CountCellsByColor(A1:R62,S15)</f>
        <v>0</v>
      </c>
      <c r="Y15" s="73"/>
      <c r="Z15" s="73"/>
      <c r="AA15" s="70">
        <f ca="1">X15-W15</f>
        <v>0</v>
      </c>
      <c r="AE15" s="334" t="s">
        <v>149</v>
      </c>
      <c r="AF15" s="335"/>
      <c r="AG15" s="335"/>
      <c r="AH15" s="335"/>
      <c r="AI15" s="336"/>
      <c r="AJ15" s="189"/>
    </row>
    <row r="16" spans="1:36" ht="12.75" customHeight="1" thickBot="1" x14ac:dyDescent="0.25">
      <c r="A16" s="1"/>
      <c r="B16" s="9">
        <v>13</v>
      </c>
      <c r="C16" s="11">
        <v>14</v>
      </c>
      <c r="D16" s="11">
        <v>15</v>
      </c>
      <c r="E16" s="11">
        <v>16</v>
      </c>
      <c r="F16" s="11">
        <v>17</v>
      </c>
      <c r="G16" s="11">
        <v>18</v>
      </c>
      <c r="H16" s="9">
        <v>19</v>
      </c>
      <c r="I16" s="4"/>
      <c r="J16" s="9">
        <v>10</v>
      </c>
      <c r="K16" s="32">
        <v>11</v>
      </c>
      <c r="L16" s="32">
        <v>12</v>
      </c>
      <c r="M16" s="32">
        <v>13</v>
      </c>
      <c r="N16" s="32">
        <v>14</v>
      </c>
      <c r="O16" s="32">
        <v>15</v>
      </c>
      <c r="P16" s="32">
        <v>16</v>
      </c>
      <c r="Q16" s="5"/>
      <c r="S16" s="306"/>
      <c r="T16" s="308" t="s">
        <v>23</v>
      </c>
      <c r="U16" s="309"/>
      <c r="W16" s="159">
        <f ca="1">TODAY()</f>
        <v>43080</v>
      </c>
      <c r="X16" s="160" t="e">
        <f ca="1">DATEDIF(W16,Z21,"d")</f>
        <v>#NUM!</v>
      </c>
      <c r="AE16" s="204" t="s">
        <v>141</v>
      </c>
      <c r="AF16" s="205"/>
      <c r="AG16" s="205"/>
      <c r="AH16" s="205"/>
      <c r="AI16" s="206" t="s">
        <v>142</v>
      </c>
    </row>
    <row r="17" spans="1:35" ht="13.5" customHeight="1" thickBot="1" x14ac:dyDescent="0.25">
      <c r="A17" s="1"/>
      <c r="B17" s="9">
        <v>20</v>
      </c>
      <c r="C17" s="11">
        <v>21</v>
      </c>
      <c r="D17" s="11">
        <v>22</v>
      </c>
      <c r="E17" s="11">
        <v>23</v>
      </c>
      <c r="F17" s="11">
        <v>24</v>
      </c>
      <c r="G17" s="11">
        <v>25</v>
      </c>
      <c r="H17" s="9">
        <v>26</v>
      </c>
      <c r="I17" s="4"/>
      <c r="J17" s="9">
        <v>17</v>
      </c>
      <c r="K17" s="11">
        <v>18</v>
      </c>
      <c r="L17" s="11">
        <v>19</v>
      </c>
      <c r="M17" s="11">
        <v>20</v>
      </c>
      <c r="N17" s="11">
        <v>21</v>
      </c>
      <c r="O17" s="11">
        <v>22</v>
      </c>
      <c r="P17" s="9">
        <v>23</v>
      </c>
      <c r="Q17" s="5"/>
      <c r="S17" s="307"/>
      <c r="T17" s="310"/>
      <c r="U17" s="311"/>
      <c r="Z17" s="66"/>
      <c r="AA17" s="66"/>
      <c r="AE17" s="197" t="s">
        <v>148</v>
      </c>
      <c r="AF17" s="197"/>
      <c r="AG17" s="197"/>
      <c r="AH17" s="197"/>
      <c r="AI17" s="198">
        <v>1.5451190972235054</v>
      </c>
    </row>
    <row r="18" spans="1:35" ht="16.5" customHeight="1" thickBot="1" x14ac:dyDescent="0.25">
      <c r="A18" s="1"/>
      <c r="B18" s="9">
        <v>27</v>
      </c>
      <c r="C18" s="11">
        <v>28</v>
      </c>
      <c r="D18" s="11">
        <v>29</v>
      </c>
      <c r="E18" s="11">
        <v>30</v>
      </c>
      <c r="F18" s="11">
        <v>31</v>
      </c>
      <c r="G18" s="321"/>
      <c r="H18" s="314"/>
      <c r="I18" s="4"/>
      <c r="J18" s="9">
        <v>24</v>
      </c>
      <c r="K18" s="11">
        <v>25</v>
      </c>
      <c r="L18" s="12">
        <v>26</v>
      </c>
      <c r="M18" s="12">
        <v>27</v>
      </c>
      <c r="N18" s="12">
        <v>28</v>
      </c>
      <c r="O18" s="12">
        <v>29</v>
      </c>
      <c r="P18" s="12">
        <v>30</v>
      </c>
      <c r="Q18" s="5"/>
      <c r="S18" s="2" t="s">
        <v>105</v>
      </c>
      <c r="Y18" s="1"/>
      <c r="Z18" s="145">
        <v>0.45</v>
      </c>
      <c r="AA18" s="147" t="s">
        <v>104</v>
      </c>
      <c r="AB18" s="5"/>
      <c r="AE18" s="197" t="s">
        <v>147</v>
      </c>
      <c r="AF18" s="197"/>
      <c r="AG18" s="197"/>
      <c r="AH18" s="197"/>
      <c r="AI18" s="198">
        <v>0.34346458333311602</v>
      </c>
    </row>
    <row r="19" spans="1:35" ht="18" customHeight="1" thickBot="1" x14ac:dyDescent="0.25">
      <c r="A19" s="1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S19" s="2" t="s">
        <v>106</v>
      </c>
      <c r="Y19" s="1"/>
      <c r="Z19" s="146">
        <f>'[1]Attendance from November 2015'!H51</f>
        <v>323</v>
      </c>
      <c r="AA19" s="147" t="s">
        <v>104</v>
      </c>
      <c r="AB19" s="5"/>
      <c r="AE19" s="197" t="s">
        <v>146</v>
      </c>
      <c r="AF19" s="197"/>
      <c r="AG19" s="197"/>
      <c r="AH19" s="197"/>
      <c r="AI19" s="198">
        <v>0.58880844905070262</v>
      </c>
    </row>
    <row r="20" spans="1:35" ht="24.75" customHeight="1" thickBot="1" x14ac:dyDescent="0.25">
      <c r="A20" s="1"/>
      <c r="B20" s="312" t="s">
        <v>9</v>
      </c>
      <c r="C20" s="312"/>
      <c r="D20" s="312"/>
      <c r="E20" s="312"/>
      <c r="F20" s="312"/>
      <c r="G20" s="312"/>
      <c r="H20" s="312"/>
      <c r="I20" s="4"/>
      <c r="J20" s="312" t="s">
        <v>10</v>
      </c>
      <c r="K20" s="312"/>
      <c r="L20" s="312"/>
      <c r="M20" s="312"/>
      <c r="N20" s="312"/>
      <c r="O20" s="312"/>
      <c r="P20" s="312"/>
      <c r="Q20" s="5"/>
      <c r="S20" s="161" t="s">
        <v>103</v>
      </c>
      <c r="T20" s="66"/>
      <c r="U20" s="66"/>
      <c r="V20" s="66"/>
      <c r="W20" s="66"/>
      <c r="X20" s="66"/>
      <c r="Y20" s="162"/>
      <c r="Z20" s="163">
        <f ca="1">Z19*0.09-AA5+AA12+Z18+AA15</f>
        <v>2.5200000000000005</v>
      </c>
      <c r="AA20" s="164" t="s">
        <v>104</v>
      </c>
      <c r="AB20" s="5"/>
      <c r="AE20" s="199" t="s">
        <v>145</v>
      </c>
      <c r="AF20" s="199"/>
      <c r="AG20" s="199"/>
      <c r="AH20" s="199"/>
      <c r="AI20" s="200">
        <v>3.0456329861044651</v>
      </c>
    </row>
    <row r="21" spans="1:35" ht="16.5" thickBot="1" x14ac:dyDescent="0.25">
      <c r="A21" s="1"/>
      <c r="B21" s="6" t="s">
        <v>2</v>
      </c>
      <c r="C21" s="6" t="s">
        <v>3</v>
      </c>
      <c r="D21" s="6" t="s">
        <v>4</v>
      </c>
      <c r="E21" s="6" t="s">
        <v>5</v>
      </c>
      <c r="F21" s="6" t="s">
        <v>4</v>
      </c>
      <c r="G21" s="6" t="s">
        <v>6</v>
      </c>
      <c r="H21" s="6" t="s">
        <v>2</v>
      </c>
      <c r="I21" s="4"/>
      <c r="J21" s="6" t="s">
        <v>2</v>
      </c>
      <c r="K21" s="6" t="s">
        <v>3</v>
      </c>
      <c r="L21" s="6" t="s">
        <v>4</v>
      </c>
      <c r="M21" s="6" t="s">
        <v>5</v>
      </c>
      <c r="N21" s="6" t="s">
        <v>4</v>
      </c>
      <c r="O21" s="6" t="s">
        <v>6</v>
      </c>
      <c r="P21" s="6" t="s">
        <v>2</v>
      </c>
      <c r="Q21" s="5"/>
      <c r="S21" s="332" t="s">
        <v>117</v>
      </c>
      <c r="T21" s="332"/>
      <c r="U21" s="332"/>
      <c r="V21" s="332"/>
      <c r="W21" s="165"/>
      <c r="X21" s="165"/>
      <c r="Y21" s="166"/>
      <c r="Z21" s="327"/>
      <c r="AA21" s="328"/>
      <c r="AD21" s="134"/>
      <c r="AE21" s="199" t="s">
        <v>150</v>
      </c>
      <c r="AF21" s="199"/>
      <c r="AG21" s="199"/>
      <c r="AH21" s="199"/>
      <c r="AI21" s="200">
        <v>3.7535968749944004</v>
      </c>
    </row>
    <row r="22" spans="1:35" ht="16.5" thickBot="1" x14ac:dyDescent="0.25">
      <c r="A22" s="1"/>
      <c r="B22" s="9">
        <v>1</v>
      </c>
      <c r="C22" s="11">
        <v>2</v>
      </c>
      <c r="D22" s="11">
        <v>3</v>
      </c>
      <c r="E22" s="11">
        <v>4</v>
      </c>
      <c r="F22" s="11">
        <v>5</v>
      </c>
      <c r="G22" s="11">
        <v>6</v>
      </c>
      <c r="H22" s="9">
        <v>7</v>
      </c>
      <c r="I22" s="4"/>
      <c r="J22" s="321"/>
      <c r="K22" s="314"/>
      <c r="L22" s="314"/>
      <c r="M22" s="11">
        <v>1</v>
      </c>
      <c r="N22" s="11">
        <v>2</v>
      </c>
      <c r="O22" s="11">
        <v>3</v>
      </c>
      <c r="P22" s="11">
        <v>4</v>
      </c>
      <c r="Q22" s="5"/>
      <c r="S22" s="167" t="s">
        <v>118</v>
      </c>
      <c r="T22" s="168"/>
      <c r="U22" s="169"/>
      <c r="V22" s="170">
        <f>+Z21</f>
        <v>0</v>
      </c>
      <c r="W22" s="171" t="s">
        <v>104</v>
      </c>
      <c r="X22" s="172"/>
      <c r="Y22" s="173"/>
      <c r="Z22" s="174" t="e">
        <f ca="1">X16*0.09+Z20</f>
        <v>#NUM!</v>
      </c>
      <c r="AA22" s="175" t="s">
        <v>104</v>
      </c>
      <c r="AD22" s="136"/>
      <c r="AE22" s="199" t="s">
        <v>94</v>
      </c>
      <c r="AF22" s="199"/>
      <c r="AG22" s="199"/>
      <c r="AH22" s="199"/>
      <c r="AI22" s="200">
        <v>4.3837037032062653E-2</v>
      </c>
    </row>
    <row r="23" spans="1:35" ht="13.5" thickBot="1" x14ac:dyDescent="0.25">
      <c r="A23" s="1"/>
      <c r="B23" s="9">
        <v>8</v>
      </c>
      <c r="C23" s="11">
        <v>9</v>
      </c>
      <c r="D23" s="11">
        <v>10</v>
      </c>
      <c r="E23" s="11">
        <v>11</v>
      </c>
      <c r="F23" s="11">
        <v>12</v>
      </c>
      <c r="G23" s="11">
        <v>13</v>
      </c>
      <c r="H23" s="9">
        <v>14</v>
      </c>
      <c r="I23" s="4"/>
      <c r="J23" s="9">
        <v>5</v>
      </c>
      <c r="K23" s="11">
        <v>6</v>
      </c>
      <c r="L23" s="11">
        <v>7</v>
      </c>
      <c r="M23" s="11">
        <v>8</v>
      </c>
      <c r="N23" s="11">
        <v>9</v>
      </c>
      <c r="O23" s="11">
        <v>10</v>
      </c>
      <c r="P23" s="9">
        <v>11</v>
      </c>
      <c r="Q23" s="5"/>
      <c r="R23" s="261"/>
      <c r="S23" s="261"/>
      <c r="T23" s="261"/>
      <c r="U23" s="261"/>
      <c r="V23" s="261"/>
      <c r="W23" s="261"/>
      <c r="X23" s="261"/>
      <c r="Y23" s="261"/>
      <c r="Z23" s="261"/>
      <c r="AA23" s="261"/>
      <c r="AD23" s="136"/>
      <c r="AE23" s="207"/>
      <c r="AF23" s="207"/>
      <c r="AG23" s="207"/>
      <c r="AH23" s="207"/>
      <c r="AI23" s="208">
        <f>SUM(AI17:AI22)</f>
        <v>9.3204590277382522</v>
      </c>
    </row>
    <row r="24" spans="1:35" ht="16.5" thickTop="1" x14ac:dyDescent="0.25">
      <c r="A24" s="1"/>
      <c r="B24" s="9">
        <v>15</v>
      </c>
      <c r="C24" s="11">
        <v>16</v>
      </c>
      <c r="D24" s="11">
        <v>17</v>
      </c>
      <c r="E24" s="11">
        <v>18</v>
      </c>
      <c r="F24" s="11">
        <v>19</v>
      </c>
      <c r="G24" s="11">
        <v>20</v>
      </c>
      <c r="H24" s="9">
        <v>21</v>
      </c>
      <c r="I24" s="4"/>
      <c r="J24" s="9">
        <v>12</v>
      </c>
      <c r="K24" s="11">
        <v>13</v>
      </c>
      <c r="L24" s="32">
        <v>14</v>
      </c>
      <c r="M24" s="32">
        <v>15</v>
      </c>
      <c r="N24" s="32">
        <v>16</v>
      </c>
      <c r="O24" s="32">
        <v>17</v>
      </c>
      <c r="P24" s="32">
        <v>18</v>
      </c>
      <c r="Q24" s="5"/>
      <c r="R24" s="261"/>
      <c r="S24" s="262" t="s">
        <v>93</v>
      </c>
      <c r="T24" s="261"/>
      <c r="U24" s="261"/>
      <c r="V24" s="261"/>
      <c r="W24" s="261"/>
      <c r="X24" s="261"/>
      <c r="Y24" s="261"/>
      <c r="Z24" s="261"/>
      <c r="AA24" s="261"/>
      <c r="AD24" s="136"/>
    </row>
    <row r="25" spans="1:35" x14ac:dyDescent="0.2">
      <c r="A25" s="1"/>
      <c r="B25" s="9">
        <v>22</v>
      </c>
      <c r="C25" s="11">
        <v>23</v>
      </c>
      <c r="D25" s="11">
        <v>24</v>
      </c>
      <c r="E25" s="11">
        <v>25</v>
      </c>
      <c r="F25" s="11">
        <v>26</v>
      </c>
      <c r="G25" s="11">
        <v>27</v>
      </c>
      <c r="H25" s="9">
        <v>28</v>
      </c>
      <c r="I25" s="4"/>
      <c r="J25" s="9">
        <v>19</v>
      </c>
      <c r="K25" s="11">
        <v>20</v>
      </c>
      <c r="L25" s="11">
        <v>21</v>
      </c>
      <c r="M25" s="11">
        <v>22</v>
      </c>
      <c r="N25" s="11">
        <v>23</v>
      </c>
      <c r="O25" s="11">
        <v>24</v>
      </c>
      <c r="P25" s="9">
        <v>25</v>
      </c>
      <c r="Q25" s="5"/>
      <c r="R25" s="261"/>
      <c r="S25" s="261"/>
      <c r="T25" s="261"/>
      <c r="U25" s="261"/>
      <c r="V25" s="261"/>
      <c r="W25" s="261"/>
      <c r="X25" s="261"/>
      <c r="Y25" s="261"/>
      <c r="Z25" s="261"/>
      <c r="AA25" s="261"/>
    </row>
    <row r="26" spans="1:35" x14ac:dyDescent="0.2">
      <c r="A26" s="1"/>
      <c r="B26" s="11">
        <v>29</v>
      </c>
      <c r="C26" s="11">
        <v>30</v>
      </c>
      <c r="D26" s="11">
        <v>31</v>
      </c>
      <c r="E26" s="321"/>
      <c r="F26" s="314"/>
      <c r="G26" s="314"/>
      <c r="H26" s="314"/>
      <c r="I26" s="4"/>
      <c r="J26" s="9">
        <v>26</v>
      </c>
      <c r="K26" s="11">
        <v>27</v>
      </c>
      <c r="L26" s="12">
        <v>28</v>
      </c>
      <c r="M26" s="12">
        <v>29</v>
      </c>
      <c r="N26" s="12">
        <v>30</v>
      </c>
      <c r="O26" s="321"/>
      <c r="P26" s="314"/>
      <c r="Q26" s="5"/>
      <c r="R26" s="263">
        <v>1</v>
      </c>
      <c r="S26" s="261" t="s">
        <v>80</v>
      </c>
      <c r="T26" s="261"/>
      <c r="U26" s="264" t="s">
        <v>119</v>
      </c>
      <c r="V26" s="264"/>
      <c r="W26" s="261"/>
      <c r="X26" s="261"/>
      <c r="Y26" s="261"/>
      <c r="Z26" s="261"/>
      <c r="AA26" s="265"/>
      <c r="AB26" s="64"/>
    </row>
    <row r="27" spans="1:35" ht="10.5" customHeight="1" x14ac:dyDescent="0.2">
      <c r="A27" s="1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R27" s="263">
        <v>2</v>
      </c>
      <c r="S27" s="261" t="s">
        <v>81</v>
      </c>
      <c r="T27" s="261"/>
      <c r="U27" s="261" t="s">
        <v>120</v>
      </c>
      <c r="V27" s="261"/>
      <c r="W27" s="261"/>
      <c r="X27" s="261"/>
      <c r="Y27" s="261"/>
      <c r="Z27" s="261"/>
      <c r="AA27" s="261"/>
      <c r="AB27" s="135"/>
      <c r="AC27" s="136"/>
    </row>
    <row r="28" spans="1:35" x14ac:dyDescent="0.2">
      <c r="A28" s="1"/>
      <c r="B28" s="312" t="s">
        <v>11</v>
      </c>
      <c r="C28" s="312"/>
      <c r="D28" s="312"/>
      <c r="E28" s="312"/>
      <c r="F28" s="312"/>
      <c r="G28" s="312"/>
      <c r="H28" s="312"/>
      <c r="I28" s="4"/>
      <c r="J28" s="312" t="s">
        <v>12</v>
      </c>
      <c r="K28" s="312"/>
      <c r="L28" s="312"/>
      <c r="M28" s="312"/>
      <c r="N28" s="312"/>
      <c r="O28" s="312"/>
      <c r="P28" s="312"/>
      <c r="Q28" s="5"/>
      <c r="R28" s="263">
        <v>3</v>
      </c>
      <c r="S28" s="261" t="s">
        <v>82</v>
      </c>
      <c r="T28" s="261"/>
      <c r="U28" s="261" t="s">
        <v>135</v>
      </c>
      <c r="V28" s="266"/>
      <c r="W28" s="261"/>
      <c r="X28" s="261"/>
      <c r="Y28" s="261"/>
      <c r="Z28" s="261"/>
      <c r="AA28" s="261"/>
      <c r="AB28" s="135"/>
      <c r="AC28" s="136"/>
    </row>
    <row r="29" spans="1:35" x14ac:dyDescent="0.2">
      <c r="A29" s="1"/>
      <c r="B29" s="6" t="s">
        <v>2</v>
      </c>
      <c r="C29" s="6" t="s">
        <v>3</v>
      </c>
      <c r="D29" s="6" t="s">
        <v>4</v>
      </c>
      <c r="E29" s="6" t="s">
        <v>5</v>
      </c>
      <c r="F29" s="6" t="s">
        <v>4</v>
      </c>
      <c r="G29" s="6" t="s">
        <v>6</v>
      </c>
      <c r="H29" s="6" t="s">
        <v>2</v>
      </c>
      <c r="I29" s="4"/>
      <c r="J29" s="6" t="s">
        <v>2</v>
      </c>
      <c r="K29" s="6" t="s">
        <v>3</v>
      </c>
      <c r="L29" s="6" t="s">
        <v>4</v>
      </c>
      <c r="M29" s="6" t="s">
        <v>5</v>
      </c>
      <c r="N29" s="6" t="s">
        <v>4</v>
      </c>
      <c r="O29" s="6" t="s">
        <v>6</v>
      </c>
      <c r="P29" s="6" t="s">
        <v>2</v>
      </c>
      <c r="Q29" s="5"/>
      <c r="R29" s="263">
        <v>4</v>
      </c>
      <c r="S29" s="261" t="s">
        <v>83</v>
      </c>
      <c r="T29" s="261"/>
      <c r="U29" s="267" t="s">
        <v>78</v>
      </c>
      <c r="V29" s="267"/>
      <c r="W29" s="261"/>
      <c r="X29" s="261"/>
      <c r="Y29" s="261"/>
      <c r="Z29" s="261"/>
      <c r="AA29" s="261"/>
      <c r="AB29" s="135"/>
      <c r="AC29" s="136"/>
    </row>
    <row r="30" spans="1:35" x14ac:dyDescent="0.2">
      <c r="A30" s="1"/>
      <c r="B30" s="321"/>
      <c r="C30" s="314"/>
      <c r="D30" s="314"/>
      <c r="E30" s="314"/>
      <c r="F30" s="314"/>
      <c r="G30" s="8">
        <v>1</v>
      </c>
      <c r="H30" s="9">
        <v>2</v>
      </c>
      <c r="I30" s="4"/>
      <c r="J30" s="10"/>
      <c r="K30" s="11">
        <v>1</v>
      </c>
      <c r="L30" s="11">
        <v>2</v>
      </c>
      <c r="M30" s="11">
        <v>3</v>
      </c>
      <c r="N30" s="11">
        <v>4</v>
      </c>
      <c r="O30" s="11">
        <v>5</v>
      </c>
      <c r="P30" s="11">
        <v>6</v>
      </c>
      <c r="Q30" s="5"/>
      <c r="R30" s="263">
        <v>5</v>
      </c>
      <c r="S30" s="261" t="s">
        <v>84</v>
      </c>
      <c r="T30" s="261"/>
      <c r="U30" s="261" t="s">
        <v>79</v>
      </c>
      <c r="V30" s="261"/>
      <c r="W30" s="261"/>
      <c r="X30" s="261"/>
      <c r="Y30" s="261"/>
      <c r="Z30" s="261"/>
      <c r="AA30" s="261"/>
    </row>
    <row r="31" spans="1:35" x14ac:dyDescent="0.2">
      <c r="A31" s="1"/>
      <c r="B31" s="9">
        <v>3</v>
      </c>
      <c r="C31" s="11">
        <v>4</v>
      </c>
      <c r="D31" s="11">
        <v>5</v>
      </c>
      <c r="E31" s="11">
        <v>6</v>
      </c>
      <c r="F31" s="11">
        <v>7</v>
      </c>
      <c r="G31" s="11">
        <v>8</v>
      </c>
      <c r="H31" s="9">
        <v>9</v>
      </c>
      <c r="I31" s="4"/>
      <c r="J31" s="9">
        <v>7</v>
      </c>
      <c r="K31" s="11">
        <v>8</v>
      </c>
      <c r="L31" s="11">
        <v>9</v>
      </c>
      <c r="M31" s="11">
        <v>10</v>
      </c>
      <c r="N31" s="11">
        <v>11</v>
      </c>
      <c r="O31" s="11">
        <v>12</v>
      </c>
      <c r="P31" s="9">
        <v>13</v>
      </c>
      <c r="Q31" s="5"/>
      <c r="R31" s="263">
        <v>6</v>
      </c>
      <c r="S31" s="261" t="s">
        <v>85</v>
      </c>
      <c r="T31" s="261"/>
      <c r="U31" s="261" t="s">
        <v>136</v>
      </c>
      <c r="V31" s="261"/>
      <c r="W31" s="261"/>
      <c r="X31" s="261"/>
      <c r="Y31" s="261"/>
      <c r="Z31" s="261"/>
      <c r="AA31" s="261"/>
    </row>
    <row r="32" spans="1:35" x14ac:dyDescent="0.2">
      <c r="A32" s="1"/>
      <c r="B32" s="9">
        <v>10</v>
      </c>
      <c r="C32" s="11">
        <v>11</v>
      </c>
      <c r="D32" s="11">
        <v>12</v>
      </c>
      <c r="E32" s="11">
        <v>13</v>
      </c>
      <c r="F32" s="11">
        <v>14</v>
      </c>
      <c r="G32" s="11">
        <v>15</v>
      </c>
      <c r="H32" s="9">
        <v>16</v>
      </c>
      <c r="I32" s="4"/>
      <c r="J32" s="9">
        <v>14</v>
      </c>
      <c r="K32" s="11">
        <v>15</v>
      </c>
      <c r="L32" s="11">
        <v>16</v>
      </c>
      <c r="M32" s="11">
        <v>17</v>
      </c>
      <c r="N32" s="11">
        <v>18</v>
      </c>
      <c r="O32" s="11">
        <v>19</v>
      </c>
      <c r="P32" s="9">
        <v>20</v>
      </c>
      <c r="Q32" s="5"/>
      <c r="R32" s="263">
        <v>7</v>
      </c>
      <c r="S32" s="261" t="s">
        <v>86</v>
      </c>
      <c r="T32" s="261"/>
      <c r="U32" s="261" t="s">
        <v>122</v>
      </c>
      <c r="V32" s="261"/>
      <c r="W32" s="261"/>
      <c r="X32" s="261"/>
      <c r="Y32" s="261"/>
      <c r="Z32" s="261"/>
      <c r="AA32" s="261"/>
    </row>
    <row r="33" spans="1:31" x14ac:dyDescent="0.2">
      <c r="A33" s="1"/>
      <c r="B33" s="9">
        <v>17</v>
      </c>
      <c r="C33" s="11">
        <v>18</v>
      </c>
      <c r="D33" s="11">
        <v>19</v>
      </c>
      <c r="E33" s="11">
        <v>20</v>
      </c>
      <c r="F33" s="11">
        <v>21</v>
      </c>
      <c r="G33" s="11">
        <v>22</v>
      </c>
      <c r="H33" s="9">
        <v>23</v>
      </c>
      <c r="I33" s="4"/>
      <c r="J33" s="9">
        <v>21</v>
      </c>
      <c r="K33" s="11">
        <v>22</v>
      </c>
      <c r="L33" s="11">
        <v>23</v>
      </c>
      <c r="M33" s="11">
        <v>24</v>
      </c>
      <c r="N33" s="11">
        <v>25</v>
      </c>
      <c r="O33" s="11">
        <v>26</v>
      </c>
      <c r="P33" s="9">
        <v>27</v>
      </c>
      <c r="Q33" s="5"/>
      <c r="R33" s="263">
        <v>8</v>
      </c>
      <c r="S33" s="261" t="s">
        <v>65</v>
      </c>
      <c r="T33" s="261"/>
      <c r="U33" s="261" t="s">
        <v>123</v>
      </c>
      <c r="V33" s="261"/>
      <c r="W33" s="261"/>
      <c r="X33" s="261"/>
      <c r="Y33" s="261"/>
      <c r="Z33" s="261"/>
      <c r="AA33" s="261"/>
    </row>
    <row r="34" spans="1:31" x14ac:dyDescent="0.2">
      <c r="A34" s="1"/>
      <c r="B34" s="9">
        <v>24</v>
      </c>
      <c r="C34" s="11">
        <v>25</v>
      </c>
      <c r="D34" s="11">
        <v>26</v>
      </c>
      <c r="E34" s="11">
        <v>27</v>
      </c>
      <c r="F34" s="11">
        <v>28</v>
      </c>
      <c r="G34" s="11">
        <v>29</v>
      </c>
      <c r="H34" s="9">
        <v>30</v>
      </c>
      <c r="I34" s="4"/>
      <c r="J34" s="9">
        <v>28</v>
      </c>
      <c r="K34" s="11">
        <v>29</v>
      </c>
      <c r="L34" s="12">
        <v>30</v>
      </c>
      <c r="M34" s="12">
        <v>31</v>
      </c>
      <c r="N34" s="321"/>
      <c r="O34" s="314"/>
      <c r="P34" s="314"/>
      <c r="Q34" s="5"/>
      <c r="R34" s="263">
        <v>9</v>
      </c>
      <c r="S34" s="261" t="s">
        <v>87</v>
      </c>
      <c r="T34" s="261"/>
      <c r="U34" s="261" t="s">
        <v>124</v>
      </c>
      <c r="V34" s="261"/>
      <c r="W34" s="261"/>
      <c r="X34" s="261"/>
      <c r="Y34" s="261"/>
      <c r="Z34" s="261" t="s">
        <v>32</v>
      </c>
      <c r="AA34" s="261"/>
    </row>
    <row r="35" spans="1:31" x14ac:dyDescent="0.2">
      <c r="A35" s="1"/>
      <c r="B35" s="11">
        <v>31</v>
      </c>
      <c r="C35" s="321"/>
      <c r="D35" s="314"/>
      <c r="E35" s="314"/>
      <c r="F35" s="314"/>
      <c r="G35" s="314"/>
      <c r="H35" s="314"/>
      <c r="I35" s="4"/>
      <c r="J35" s="14"/>
      <c r="K35" s="15"/>
      <c r="L35" s="15"/>
      <c r="M35" s="15"/>
      <c r="N35" s="15"/>
      <c r="O35" s="15"/>
      <c r="P35" s="15"/>
      <c r="R35" s="263">
        <v>10</v>
      </c>
      <c r="S35" s="261" t="s">
        <v>125</v>
      </c>
      <c r="T35" s="261"/>
      <c r="U35" s="261"/>
      <c r="V35" s="261"/>
      <c r="W35" s="268"/>
      <c r="X35" s="261"/>
      <c r="Y35" s="261"/>
      <c r="Z35" s="261"/>
      <c r="AA35" s="261"/>
    </row>
    <row r="36" spans="1:31" ht="11.25" customHeight="1" x14ac:dyDescent="0.2">
      <c r="A36" s="1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R36" s="263">
        <v>11</v>
      </c>
      <c r="S36" s="261" t="s">
        <v>88</v>
      </c>
      <c r="T36" s="261"/>
      <c r="U36" s="269" t="s">
        <v>126</v>
      </c>
      <c r="V36" s="261"/>
      <c r="W36" s="261"/>
      <c r="X36" s="261"/>
      <c r="Y36" s="261"/>
      <c r="Z36" s="261"/>
      <c r="AA36" s="261"/>
    </row>
    <row r="37" spans="1:31" x14ac:dyDescent="0.2">
      <c r="A37" s="1"/>
      <c r="B37" s="312" t="s">
        <v>13</v>
      </c>
      <c r="C37" s="312"/>
      <c r="D37" s="312"/>
      <c r="E37" s="312"/>
      <c r="F37" s="312"/>
      <c r="G37" s="312"/>
      <c r="H37" s="312"/>
      <c r="I37" s="4"/>
      <c r="J37" s="312" t="s">
        <v>14</v>
      </c>
      <c r="K37" s="312"/>
      <c r="L37" s="312"/>
      <c r="M37" s="312"/>
      <c r="N37" s="312"/>
      <c r="O37" s="312"/>
      <c r="P37" s="312"/>
      <c r="Q37" s="5"/>
      <c r="R37" s="263">
        <v>12</v>
      </c>
      <c r="S37" s="261" t="s">
        <v>89</v>
      </c>
      <c r="T37" s="270"/>
      <c r="U37" s="271" t="s">
        <v>127</v>
      </c>
      <c r="V37" s="272"/>
      <c r="W37" s="261"/>
      <c r="X37" s="261"/>
      <c r="Y37" s="261"/>
      <c r="Z37" s="261"/>
      <c r="AA37" s="261"/>
    </row>
    <row r="38" spans="1:31" x14ac:dyDescent="0.2">
      <c r="A38" s="1"/>
      <c r="B38" s="6" t="s">
        <v>2</v>
      </c>
      <c r="C38" s="6" t="s">
        <v>3</v>
      </c>
      <c r="D38" s="6" t="s">
        <v>4</v>
      </c>
      <c r="E38" s="6" t="s">
        <v>5</v>
      </c>
      <c r="F38" s="6" t="s">
        <v>4</v>
      </c>
      <c r="G38" s="6" t="s">
        <v>6</v>
      </c>
      <c r="H38" s="6" t="s">
        <v>2</v>
      </c>
      <c r="I38" s="4"/>
      <c r="J38" s="6" t="s">
        <v>2</v>
      </c>
      <c r="K38" s="6" t="s">
        <v>3</v>
      </c>
      <c r="L38" s="6" t="s">
        <v>4</v>
      </c>
      <c r="M38" s="6" t="s">
        <v>5</v>
      </c>
      <c r="N38" s="6" t="s">
        <v>4</v>
      </c>
      <c r="O38" s="6" t="s">
        <v>6</v>
      </c>
      <c r="P38" s="6" t="s">
        <v>2</v>
      </c>
      <c r="Q38" s="5"/>
      <c r="R38" s="263">
        <v>13</v>
      </c>
      <c r="S38" s="261" t="s">
        <v>66</v>
      </c>
      <c r="T38" s="273"/>
      <c r="U38" s="274" t="s">
        <v>128</v>
      </c>
      <c r="V38" s="269"/>
      <c r="W38" s="261"/>
      <c r="X38" s="261"/>
      <c r="Y38" s="261"/>
      <c r="Z38" s="261"/>
      <c r="AA38" s="261"/>
    </row>
    <row r="39" spans="1:31" ht="15" x14ac:dyDescent="0.25">
      <c r="A39" s="1"/>
      <c r="B39" s="321"/>
      <c r="C39" s="314"/>
      <c r="D39" s="314"/>
      <c r="E39" s="314"/>
      <c r="F39" s="11">
        <v>1</v>
      </c>
      <c r="G39" s="8">
        <v>2</v>
      </c>
      <c r="H39" s="9">
        <v>3</v>
      </c>
      <c r="I39" s="4"/>
      <c r="J39" s="321"/>
      <c r="K39" s="314"/>
      <c r="L39" s="314"/>
      <c r="M39" s="314"/>
      <c r="N39" s="314"/>
      <c r="O39" s="314"/>
      <c r="P39" s="11">
        <v>1</v>
      </c>
      <c r="Q39" s="5"/>
      <c r="R39" s="263">
        <v>14</v>
      </c>
      <c r="S39" s="261" t="s">
        <v>90</v>
      </c>
      <c r="T39" s="270"/>
      <c r="U39" s="331">
        <v>94885806</v>
      </c>
      <c r="V39" s="331"/>
      <c r="W39" s="272"/>
      <c r="X39" s="261"/>
      <c r="Y39" s="261"/>
      <c r="Z39" s="261"/>
      <c r="AA39" s="261"/>
    </row>
    <row r="40" spans="1:31" x14ac:dyDescent="0.2">
      <c r="A40" s="1"/>
      <c r="B40" s="9">
        <v>4</v>
      </c>
      <c r="C40" s="11">
        <v>5</v>
      </c>
      <c r="D40" s="11">
        <v>6</v>
      </c>
      <c r="E40" s="11">
        <v>7</v>
      </c>
      <c r="F40" s="11">
        <v>8</v>
      </c>
      <c r="G40" s="11">
        <v>9</v>
      </c>
      <c r="H40" s="9">
        <v>10</v>
      </c>
      <c r="I40" s="4"/>
      <c r="J40" s="9">
        <v>2</v>
      </c>
      <c r="K40" s="11">
        <v>3</v>
      </c>
      <c r="L40" s="11">
        <v>4</v>
      </c>
      <c r="M40" s="11">
        <v>5</v>
      </c>
      <c r="N40" s="11">
        <v>6</v>
      </c>
      <c r="O40" s="11">
        <v>7</v>
      </c>
      <c r="P40" s="9">
        <v>8</v>
      </c>
      <c r="Q40" s="5"/>
      <c r="R40" s="263">
        <v>15</v>
      </c>
      <c r="S40" s="261" t="s">
        <v>91</v>
      </c>
      <c r="T40" s="273"/>
      <c r="U40" s="275" t="s">
        <v>129</v>
      </c>
      <c r="V40" s="276"/>
      <c r="W40" s="261"/>
      <c r="X40" s="261"/>
      <c r="Y40" s="261"/>
      <c r="Z40" s="261"/>
      <c r="AA40" s="261"/>
    </row>
    <row r="41" spans="1:31" x14ac:dyDescent="0.2">
      <c r="A41" s="1"/>
      <c r="B41" s="9">
        <v>11</v>
      </c>
      <c r="C41" s="11">
        <v>12</v>
      </c>
      <c r="D41" s="11">
        <v>13</v>
      </c>
      <c r="E41" s="11">
        <v>14</v>
      </c>
      <c r="F41" s="11">
        <v>15</v>
      </c>
      <c r="G41" s="11">
        <v>16</v>
      </c>
      <c r="H41" s="9">
        <v>17</v>
      </c>
      <c r="I41" s="4"/>
      <c r="J41" s="9">
        <v>9</v>
      </c>
      <c r="K41" s="11">
        <v>10</v>
      </c>
      <c r="L41" s="11">
        <v>11</v>
      </c>
      <c r="M41" s="11">
        <v>12</v>
      </c>
      <c r="N41" s="11">
        <v>13</v>
      </c>
      <c r="O41" s="11">
        <v>14</v>
      </c>
      <c r="P41" s="9">
        <v>15</v>
      </c>
      <c r="Q41" s="5"/>
      <c r="R41" s="263">
        <v>16</v>
      </c>
      <c r="S41" s="261" t="s">
        <v>92</v>
      </c>
      <c r="T41" s="273"/>
      <c r="U41" s="267" t="s">
        <v>130</v>
      </c>
      <c r="V41" s="261"/>
      <c r="W41" s="261"/>
      <c r="X41" s="261"/>
      <c r="Y41" s="261"/>
      <c r="Z41" s="261"/>
      <c r="AA41" s="261"/>
    </row>
    <row r="42" spans="1:31" x14ac:dyDescent="0.2">
      <c r="A42" s="1"/>
      <c r="B42" s="9">
        <v>18</v>
      </c>
      <c r="C42" s="11">
        <v>19</v>
      </c>
      <c r="D42" s="11">
        <v>20</v>
      </c>
      <c r="E42" s="11">
        <v>21</v>
      </c>
      <c r="F42" s="11">
        <v>22</v>
      </c>
      <c r="G42" s="11">
        <v>23</v>
      </c>
      <c r="H42" s="9">
        <v>24</v>
      </c>
      <c r="I42" s="4"/>
      <c r="J42" s="9">
        <v>16</v>
      </c>
      <c r="K42" s="11">
        <v>17</v>
      </c>
      <c r="L42" s="11">
        <v>18</v>
      </c>
      <c r="M42" s="11">
        <v>19</v>
      </c>
      <c r="N42" s="11">
        <v>20</v>
      </c>
      <c r="O42" s="11">
        <v>21</v>
      </c>
      <c r="P42" s="9">
        <v>22</v>
      </c>
      <c r="Q42" s="5"/>
      <c r="R42" s="263">
        <v>17</v>
      </c>
      <c r="S42" s="261" t="s">
        <v>101</v>
      </c>
      <c r="T42" s="261"/>
      <c r="U42" s="277" t="s">
        <v>131</v>
      </c>
      <c r="V42" s="261"/>
      <c r="W42" s="261"/>
      <c r="X42" s="261"/>
      <c r="Y42" s="261"/>
      <c r="Z42" s="261"/>
      <c r="AA42" s="261"/>
    </row>
    <row r="43" spans="1:31" ht="18" customHeight="1" x14ac:dyDescent="0.2">
      <c r="A43" s="1"/>
      <c r="B43" s="9">
        <v>25</v>
      </c>
      <c r="C43" s="11">
        <v>26</v>
      </c>
      <c r="D43" s="11">
        <v>27</v>
      </c>
      <c r="E43" s="11">
        <v>28</v>
      </c>
      <c r="F43" s="11">
        <v>29</v>
      </c>
      <c r="G43" s="11">
        <v>30</v>
      </c>
      <c r="H43" s="10"/>
      <c r="I43" s="4"/>
      <c r="J43" s="9">
        <v>23</v>
      </c>
      <c r="K43" s="11">
        <v>24</v>
      </c>
      <c r="L43" s="12">
        <v>25</v>
      </c>
      <c r="M43" s="12">
        <v>26</v>
      </c>
      <c r="N43" s="12">
        <v>27</v>
      </c>
      <c r="O43" s="12">
        <v>28</v>
      </c>
      <c r="P43" s="12">
        <v>29</v>
      </c>
      <c r="Q43" s="5"/>
      <c r="R43" s="263"/>
      <c r="S43" s="261"/>
      <c r="T43" s="261"/>
      <c r="U43" s="278"/>
      <c r="V43" s="261"/>
      <c r="W43" s="261"/>
      <c r="X43" s="261"/>
      <c r="Y43" s="261"/>
      <c r="Z43" s="261"/>
      <c r="AA43" s="261"/>
    </row>
    <row r="44" spans="1:31" x14ac:dyDescent="0.2">
      <c r="A44" s="1"/>
      <c r="B44" s="16"/>
      <c r="C44" s="14"/>
      <c r="D44" s="14"/>
      <c r="E44" s="14"/>
      <c r="F44" s="14"/>
      <c r="G44" s="14"/>
      <c r="H44" s="16"/>
      <c r="I44" s="4"/>
      <c r="J44" s="12">
        <v>30</v>
      </c>
      <c r="K44" s="11">
        <v>31</v>
      </c>
      <c r="L44" s="321"/>
      <c r="M44" s="314"/>
      <c r="N44" s="314"/>
      <c r="O44" s="314"/>
      <c r="P44" s="314"/>
      <c r="Q44" s="5"/>
      <c r="R44" s="180"/>
    </row>
    <row r="45" spans="1:31" ht="12" customHeight="1" thickBot="1" x14ac:dyDescent="0.3">
      <c r="A45" s="1"/>
      <c r="B45" s="3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R45" s="180"/>
      <c r="S45" s="74" t="s">
        <v>115</v>
      </c>
      <c r="AD45" s="5"/>
    </row>
    <row r="46" spans="1:31" ht="13.5" thickBot="1" x14ac:dyDescent="0.25">
      <c r="A46" s="1"/>
      <c r="B46" s="312" t="s">
        <v>15</v>
      </c>
      <c r="C46" s="312"/>
      <c r="D46" s="312"/>
      <c r="E46" s="312"/>
      <c r="F46" s="312"/>
      <c r="G46" s="312"/>
      <c r="H46" s="312"/>
      <c r="I46" s="4"/>
      <c r="J46" s="312" t="s">
        <v>16</v>
      </c>
      <c r="K46" s="312"/>
      <c r="L46" s="312"/>
      <c r="M46" s="312"/>
      <c r="N46" s="312"/>
      <c r="O46" s="312"/>
      <c r="P46" s="312"/>
      <c r="Q46" s="5"/>
      <c r="R46" s="180"/>
      <c r="S46" s="209" t="s">
        <v>43</v>
      </c>
      <c r="T46" s="210" t="s">
        <v>107</v>
      </c>
      <c r="U46" s="210" t="s">
        <v>108</v>
      </c>
      <c r="V46" s="211" t="s">
        <v>110</v>
      </c>
      <c r="W46" s="212" t="s">
        <v>111</v>
      </c>
      <c r="X46" s="212"/>
      <c r="Y46" s="213"/>
      <c r="Z46" s="210" t="s">
        <v>109</v>
      </c>
      <c r="AA46" s="210" t="s">
        <v>152</v>
      </c>
      <c r="AB46" s="214" t="s">
        <v>113</v>
      </c>
      <c r="AC46" s="215" t="s">
        <v>153</v>
      </c>
      <c r="AD46" s="210" t="s">
        <v>112</v>
      </c>
      <c r="AE46" s="216" t="s">
        <v>154</v>
      </c>
    </row>
    <row r="47" spans="1:31" ht="25.5" x14ac:dyDescent="0.2">
      <c r="A47" s="1"/>
      <c r="B47" s="6" t="s">
        <v>2</v>
      </c>
      <c r="C47" s="6" t="s">
        <v>3</v>
      </c>
      <c r="D47" s="6" t="s">
        <v>4</v>
      </c>
      <c r="E47" s="6" t="s">
        <v>5</v>
      </c>
      <c r="F47" s="6" t="s">
        <v>4</v>
      </c>
      <c r="G47" s="6" t="s">
        <v>6</v>
      </c>
      <c r="H47" s="6" t="s">
        <v>2</v>
      </c>
      <c r="I47" s="4"/>
      <c r="J47" s="6" t="s">
        <v>2</v>
      </c>
      <c r="K47" s="6" t="s">
        <v>3</v>
      </c>
      <c r="L47" s="6" t="s">
        <v>4</v>
      </c>
      <c r="M47" s="6" t="s">
        <v>5</v>
      </c>
      <c r="N47" s="6" t="s">
        <v>4</v>
      </c>
      <c r="O47" s="6" t="s">
        <v>6</v>
      </c>
      <c r="P47" s="6" t="s">
        <v>2</v>
      </c>
      <c r="Q47" s="5"/>
      <c r="R47" s="180"/>
      <c r="S47" s="217">
        <v>1</v>
      </c>
      <c r="T47" s="217" t="s">
        <v>158</v>
      </c>
      <c r="U47" s="217" t="s">
        <v>159</v>
      </c>
      <c r="V47" s="217" t="s">
        <v>160</v>
      </c>
      <c r="W47" s="217"/>
      <c r="X47" s="217"/>
      <c r="Y47" s="217"/>
      <c r="Z47" s="217" t="s">
        <v>161</v>
      </c>
      <c r="AA47" s="217">
        <v>66</v>
      </c>
      <c r="AB47" s="242" t="s">
        <v>162</v>
      </c>
      <c r="AC47" s="218" t="s">
        <v>163</v>
      </c>
      <c r="AD47" s="217" t="s">
        <v>164</v>
      </c>
      <c r="AE47" s="217"/>
    </row>
    <row r="48" spans="1:31" x14ac:dyDescent="0.2">
      <c r="A48" s="1"/>
      <c r="B48" s="321"/>
      <c r="C48" s="314"/>
      <c r="D48" s="11">
        <v>1</v>
      </c>
      <c r="E48" s="11">
        <v>2</v>
      </c>
      <c r="F48" s="11">
        <v>3</v>
      </c>
      <c r="G48" s="8">
        <v>4</v>
      </c>
      <c r="H48" s="9">
        <v>5</v>
      </c>
      <c r="I48" s="4"/>
      <c r="J48" s="321"/>
      <c r="K48" s="314"/>
      <c r="L48" s="314"/>
      <c r="M48" s="314"/>
      <c r="N48" s="233">
        <v>1</v>
      </c>
      <c r="O48" s="233">
        <v>2</v>
      </c>
      <c r="P48" s="233">
        <v>3</v>
      </c>
      <c r="Q48" s="5"/>
      <c r="R48" s="180"/>
      <c r="S48" s="151">
        <v>2</v>
      </c>
      <c r="T48" s="151" t="s">
        <v>165</v>
      </c>
      <c r="U48" s="151" t="s">
        <v>166</v>
      </c>
      <c r="V48" s="151" t="s">
        <v>160</v>
      </c>
      <c r="W48" s="151"/>
      <c r="X48" s="151"/>
      <c r="Y48" s="151"/>
      <c r="Z48" s="151" t="s">
        <v>167</v>
      </c>
      <c r="AA48" s="151">
        <v>66</v>
      </c>
      <c r="AB48" s="148"/>
      <c r="AC48" s="219"/>
      <c r="AD48" s="151"/>
      <c r="AE48" s="151"/>
    </row>
    <row r="49" spans="1:31" x14ac:dyDescent="0.2">
      <c r="A49" s="1"/>
      <c r="B49" s="9">
        <v>6</v>
      </c>
      <c r="C49" s="11">
        <v>7</v>
      </c>
      <c r="D49" s="11">
        <v>8</v>
      </c>
      <c r="E49" s="11">
        <v>9</v>
      </c>
      <c r="F49" s="185">
        <v>10</v>
      </c>
      <c r="G49" s="11">
        <v>11</v>
      </c>
      <c r="H49" s="9">
        <v>12</v>
      </c>
      <c r="I49" s="4"/>
      <c r="J49" s="232">
        <v>4</v>
      </c>
      <c r="K49" s="233">
        <v>5</v>
      </c>
      <c r="L49" s="233">
        <v>6</v>
      </c>
      <c r="M49" s="233">
        <v>7</v>
      </c>
      <c r="N49" s="233">
        <v>8</v>
      </c>
      <c r="O49" s="233">
        <v>9</v>
      </c>
      <c r="P49" s="232">
        <v>10</v>
      </c>
      <c r="Q49" s="5"/>
      <c r="R49" s="180"/>
      <c r="S49" s="151">
        <v>3</v>
      </c>
      <c r="T49" s="151" t="s">
        <v>168</v>
      </c>
      <c r="U49" s="151" t="s">
        <v>169</v>
      </c>
      <c r="V49" s="151" t="s">
        <v>170</v>
      </c>
      <c r="W49" s="151"/>
      <c r="X49" s="151"/>
      <c r="Y49" s="151"/>
      <c r="Z49" s="151" t="s">
        <v>171</v>
      </c>
      <c r="AA49" s="151">
        <v>118</v>
      </c>
      <c r="AB49" s="151" t="s">
        <v>172</v>
      </c>
      <c r="AC49" s="219" t="s">
        <v>173</v>
      </c>
      <c r="AD49" s="151" t="s">
        <v>174</v>
      </c>
      <c r="AE49" s="151"/>
    </row>
    <row r="50" spans="1:31" x14ac:dyDescent="0.2">
      <c r="A50" s="1"/>
      <c r="B50" s="9">
        <v>13</v>
      </c>
      <c r="C50" s="11">
        <v>14</v>
      </c>
      <c r="D50" s="11">
        <v>15</v>
      </c>
      <c r="E50" s="11">
        <v>16</v>
      </c>
      <c r="F50" s="11">
        <v>17</v>
      </c>
      <c r="G50" s="11">
        <v>18</v>
      </c>
      <c r="H50" s="9">
        <v>19</v>
      </c>
      <c r="I50" s="4"/>
      <c r="J50" s="232">
        <v>11</v>
      </c>
      <c r="K50" s="233">
        <v>12</v>
      </c>
      <c r="L50" s="233">
        <v>13</v>
      </c>
      <c r="M50" s="233">
        <v>14</v>
      </c>
      <c r="N50" s="233">
        <v>15</v>
      </c>
      <c r="O50" s="233">
        <v>16</v>
      </c>
      <c r="P50" s="186">
        <v>17</v>
      </c>
      <c r="Q50" s="5"/>
      <c r="R50" s="180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  <c r="AC50" s="219"/>
      <c r="AD50" s="151"/>
      <c r="AE50" s="151"/>
    </row>
    <row r="51" spans="1:31" x14ac:dyDescent="0.2">
      <c r="A51" s="1"/>
      <c r="B51" s="232">
        <v>20</v>
      </c>
      <c r="C51" s="233">
        <v>21</v>
      </c>
      <c r="D51" s="233">
        <v>22</v>
      </c>
      <c r="E51" s="233">
        <v>23</v>
      </c>
      <c r="F51" s="233">
        <v>24</v>
      </c>
      <c r="G51" s="233">
        <v>25</v>
      </c>
      <c r="H51" s="232">
        <v>26</v>
      </c>
      <c r="I51" s="4"/>
      <c r="J51" s="186">
        <v>18</v>
      </c>
      <c r="K51" s="186">
        <v>19</v>
      </c>
      <c r="L51" s="186">
        <v>20</v>
      </c>
      <c r="M51" s="186">
        <v>21</v>
      </c>
      <c r="N51" s="186">
        <v>22</v>
      </c>
      <c r="O51" s="186">
        <v>23</v>
      </c>
      <c r="P51" s="186">
        <v>24</v>
      </c>
      <c r="Q51" s="5"/>
      <c r="R51" s="180"/>
      <c r="S51" s="151"/>
      <c r="T51" s="151"/>
      <c r="U51" s="151"/>
      <c r="V51" s="151"/>
      <c r="W51" s="151"/>
      <c r="X51" s="151"/>
      <c r="Y51" s="151"/>
      <c r="Z51" s="151"/>
      <c r="AA51" s="151"/>
      <c r="AB51" s="151"/>
      <c r="AC51" s="219"/>
      <c r="AD51" s="151"/>
      <c r="AE51" s="151"/>
    </row>
    <row r="52" spans="1:31" x14ac:dyDescent="0.2">
      <c r="A52" s="1"/>
      <c r="B52" s="232">
        <v>27</v>
      </c>
      <c r="C52" s="233">
        <v>28</v>
      </c>
      <c r="D52" s="233">
        <v>29</v>
      </c>
      <c r="E52" s="233">
        <v>30</v>
      </c>
      <c r="F52" s="321"/>
      <c r="G52" s="314"/>
      <c r="H52" s="314"/>
      <c r="I52" s="4"/>
      <c r="J52" s="186">
        <v>25</v>
      </c>
      <c r="K52" s="186">
        <v>26</v>
      </c>
      <c r="L52" s="186">
        <v>27</v>
      </c>
      <c r="M52" s="186">
        <v>28</v>
      </c>
      <c r="N52" s="186">
        <v>29</v>
      </c>
      <c r="O52" s="186">
        <v>30</v>
      </c>
      <c r="P52" s="186">
        <v>31</v>
      </c>
      <c r="Q52" s="5"/>
      <c r="R52" s="180"/>
    </row>
    <row r="53" spans="1:31" x14ac:dyDescent="0.2">
      <c r="B53" s="17"/>
      <c r="C53" s="17"/>
      <c r="D53" s="17"/>
      <c r="E53" s="17"/>
      <c r="F53" s="17"/>
      <c r="G53" s="17"/>
      <c r="H53" s="17"/>
      <c r="I53" s="17"/>
      <c r="J53" s="17"/>
      <c r="K53" s="17"/>
      <c r="L53" s="17"/>
      <c r="M53" s="17"/>
      <c r="N53" s="17"/>
      <c r="O53" s="17"/>
      <c r="P53" s="17"/>
      <c r="R53" s="180"/>
    </row>
    <row r="54" spans="1:31" x14ac:dyDescent="0.2">
      <c r="R54" s="180"/>
    </row>
    <row r="55" spans="1:31" x14ac:dyDescent="0.2">
      <c r="R55" s="180"/>
    </row>
    <row r="56" spans="1:31" x14ac:dyDescent="0.2">
      <c r="R56" s="180"/>
    </row>
    <row r="57" spans="1:31" x14ac:dyDescent="0.2">
      <c r="R57" s="180"/>
    </row>
    <row r="58" spans="1:31" x14ac:dyDescent="0.2">
      <c r="R58" s="180"/>
    </row>
    <row r="59" spans="1:31" x14ac:dyDescent="0.2">
      <c r="R59" s="180"/>
    </row>
    <row r="60" spans="1:31" x14ac:dyDescent="0.2">
      <c r="R60" s="180"/>
    </row>
    <row r="61" spans="1:31" x14ac:dyDescent="0.2">
      <c r="R61" s="180"/>
      <c r="AA61" s="2" t="s">
        <v>32</v>
      </c>
    </row>
    <row r="62" spans="1:31" x14ac:dyDescent="0.2">
      <c r="R62" s="180"/>
    </row>
    <row r="63" spans="1:31" x14ac:dyDescent="0.2">
      <c r="R63" s="180"/>
    </row>
    <row r="64" spans="1:31" x14ac:dyDescent="0.2">
      <c r="R64" s="180"/>
    </row>
    <row r="65" spans="18:18" x14ac:dyDescent="0.2">
      <c r="R65" s="180"/>
    </row>
    <row r="66" spans="18:18" x14ac:dyDescent="0.2">
      <c r="R66" s="180"/>
    </row>
    <row r="67" spans="18:18" x14ac:dyDescent="0.2">
      <c r="R67" s="180"/>
    </row>
  </sheetData>
  <dataConsolidate/>
  <mergeCells count="41">
    <mergeCell ref="AE4:AI4"/>
    <mergeCell ref="AE15:AI15"/>
    <mergeCell ref="X7:Y7"/>
    <mergeCell ref="S16:S17"/>
    <mergeCell ref="T16:U17"/>
    <mergeCell ref="F52:H52"/>
    <mergeCell ref="B37:H37"/>
    <mergeCell ref="J37:P37"/>
    <mergeCell ref="B48:C48"/>
    <mergeCell ref="J48:M48"/>
    <mergeCell ref="B46:H46"/>
    <mergeCell ref="J46:P46"/>
    <mergeCell ref="L44:P44"/>
    <mergeCell ref="B39:E39"/>
    <mergeCell ref="J39:O39"/>
    <mergeCell ref="U39:V39"/>
    <mergeCell ref="S21:V21"/>
    <mergeCell ref="E26:H26"/>
    <mergeCell ref="O26:P26"/>
    <mergeCell ref="B28:H28"/>
    <mergeCell ref="J28:P28"/>
    <mergeCell ref="J22:L22"/>
    <mergeCell ref="B30:F30"/>
    <mergeCell ref="N34:P34"/>
    <mergeCell ref="C35:H35"/>
    <mergeCell ref="Z21:AA21"/>
    <mergeCell ref="B1:P1"/>
    <mergeCell ref="B3:H3"/>
    <mergeCell ref="J3:P3"/>
    <mergeCell ref="B5:F5"/>
    <mergeCell ref="C10:H10"/>
    <mergeCell ref="L9:P9"/>
    <mergeCell ref="B12:H12"/>
    <mergeCell ref="J12:P12"/>
    <mergeCell ref="B20:H20"/>
    <mergeCell ref="J20:P20"/>
    <mergeCell ref="B14:C14"/>
    <mergeCell ref="J14:N14"/>
    <mergeCell ref="G18:H18"/>
    <mergeCell ref="X5:Y5"/>
    <mergeCell ref="X6:Y6"/>
  </mergeCells>
  <hyperlinks>
    <hyperlink ref="U42" r:id="rId1"/>
    <hyperlink ref="S5" r:id="rId2"/>
    <hyperlink ref="S6" r:id="rId3"/>
    <hyperlink ref="S8" r:id="rId4"/>
    <hyperlink ref="S9" r:id="rId5"/>
  </hyperlinks>
  <printOptions horizontalCentered="1"/>
  <pageMargins left="0.75" right="0.75" top="0.75" bottom="0.5" header="0.5" footer="0.5"/>
  <pageSetup scale="53" orientation="portrait" horizontalDpi="300" verticalDpi="300" r:id="rId6"/>
  <headerFooter alignWithMargins="0"/>
  <drawing r:id="rId7"/>
  <legacyDrawing r:id="rId8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FFFF00"/>
  </sheetPr>
  <dimension ref="A1:AH60"/>
  <sheetViews>
    <sheetView topLeftCell="A22" workbookViewId="0">
      <selection activeCell="V42" sqref="V42"/>
    </sheetView>
  </sheetViews>
  <sheetFormatPr defaultColWidth="9.140625" defaultRowHeight="12.75" x14ac:dyDescent="0.2"/>
  <cols>
    <col min="1" max="1" width="1.28515625" style="2" customWidth="1"/>
    <col min="2" max="8" width="5.140625" style="2" customWidth="1"/>
    <col min="9" max="9" width="5.7109375" style="2" customWidth="1"/>
    <col min="10" max="16" width="5.140625" style="2" customWidth="1"/>
    <col min="17" max="17" width="1.28515625" style="2" customWidth="1"/>
    <col min="18" max="18" width="2.85546875" style="2" customWidth="1"/>
    <col min="19" max="19" width="5.140625" style="2" customWidth="1"/>
    <col min="20" max="21" width="9.140625" style="2"/>
    <col min="22" max="22" width="10.5703125" style="2" customWidth="1"/>
    <col min="23" max="25" width="0" style="2" hidden="1" customWidth="1"/>
    <col min="26" max="16384" width="9.140625" style="2"/>
  </cols>
  <sheetData>
    <row r="1" spans="1:28" ht="26.1" customHeight="1" x14ac:dyDescent="0.2">
      <c r="A1" s="1"/>
      <c r="B1" s="318">
        <v>2017</v>
      </c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318"/>
      <c r="P1" s="319"/>
      <c r="S1" s="63" t="s">
        <v>133</v>
      </c>
      <c r="AA1" s="1"/>
    </row>
    <row r="2" spans="1:28" ht="15.75" x14ac:dyDescent="0.25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R2" s="64"/>
      <c r="S2" s="65" t="s">
        <v>62</v>
      </c>
    </row>
    <row r="3" spans="1:28" x14ac:dyDescent="0.2">
      <c r="A3" s="1"/>
      <c r="B3" s="312" t="s">
        <v>0</v>
      </c>
      <c r="C3" s="312"/>
      <c r="D3" s="312"/>
      <c r="E3" s="312"/>
      <c r="F3" s="312"/>
      <c r="G3" s="312"/>
      <c r="H3" s="312"/>
      <c r="I3" s="4"/>
      <c r="J3" s="312" t="s">
        <v>1</v>
      </c>
      <c r="K3" s="312"/>
      <c r="L3" s="312"/>
      <c r="M3" s="312"/>
      <c r="N3" s="312"/>
      <c r="O3" s="312"/>
      <c r="P3" s="312"/>
      <c r="Q3" s="5"/>
      <c r="X3" s="66"/>
      <c r="Y3" s="66"/>
      <c r="Z3" s="66"/>
      <c r="AA3" s="66"/>
    </row>
    <row r="4" spans="1:28" x14ac:dyDescent="0.2">
      <c r="A4" s="1"/>
      <c r="B4" s="6" t="s">
        <v>2</v>
      </c>
      <c r="C4" s="6" t="s">
        <v>3</v>
      </c>
      <c r="D4" s="6" t="s">
        <v>4</v>
      </c>
      <c r="E4" s="6" t="s">
        <v>5</v>
      </c>
      <c r="F4" s="6" t="s">
        <v>4</v>
      </c>
      <c r="G4" s="6" t="s">
        <v>6</v>
      </c>
      <c r="H4" s="6" t="s">
        <v>2</v>
      </c>
      <c r="I4" s="7"/>
      <c r="J4" s="6" t="s">
        <v>2</v>
      </c>
      <c r="K4" s="6" t="s">
        <v>3</v>
      </c>
      <c r="L4" s="6" t="s">
        <v>4</v>
      </c>
      <c r="M4" s="6" t="s">
        <v>5</v>
      </c>
      <c r="N4" s="6" t="s">
        <v>4</v>
      </c>
      <c r="O4" s="6" t="s">
        <v>6</v>
      </c>
      <c r="P4" s="6" t="s">
        <v>2</v>
      </c>
      <c r="Q4" s="5"/>
      <c r="V4" s="1"/>
      <c r="W4" s="1"/>
      <c r="X4" s="67" t="s">
        <v>24</v>
      </c>
      <c r="Y4" s="67"/>
      <c r="Z4" s="68" t="s">
        <v>63</v>
      </c>
      <c r="AA4" s="68" t="s">
        <v>64</v>
      </c>
      <c r="AB4" s="5"/>
    </row>
    <row r="5" spans="1:28" ht="14.25" x14ac:dyDescent="0.2">
      <c r="A5" s="1"/>
      <c r="B5" s="186">
        <v>1</v>
      </c>
      <c r="C5" s="186">
        <v>2</v>
      </c>
      <c r="D5" s="186">
        <v>3</v>
      </c>
      <c r="E5" s="11">
        <v>4</v>
      </c>
      <c r="F5" s="11">
        <v>5</v>
      </c>
      <c r="G5" s="8">
        <v>6</v>
      </c>
      <c r="H5" s="9">
        <v>7</v>
      </c>
      <c r="I5" s="7"/>
      <c r="J5" s="321"/>
      <c r="K5" s="314"/>
      <c r="L5" s="314"/>
      <c r="M5" s="11">
        <v>1</v>
      </c>
      <c r="N5" s="11">
        <v>2</v>
      </c>
      <c r="O5" s="11">
        <v>3</v>
      </c>
      <c r="P5" s="11">
        <v>4</v>
      </c>
      <c r="Q5" s="5"/>
      <c r="S5" s="184" t="s">
        <v>137</v>
      </c>
      <c r="T5" s="40" t="s">
        <v>17</v>
      </c>
      <c r="U5" s="40"/>
      <c r="V5" s="69" t="s">
        <v>32</v>
      </c>
      <c r="W5" s="1">
        <f>Z5/2</f>
        <v>0</v>
      </c>
      <c r="X5" s="322">
        <f ca="1">CountCellsByColor(A1:Q52,S5)</f>
        <v>8</v>
      </c>
      <c r="Y5" s="323"/>
      <c r="Z5" s="70"/>
      <c r="AA5" s="70">
        <f ca="1">X5-W5</f>
        <v>8</v>
      </c>
      <c r="AB5" s="5"/>
    </row>
    <row r="6" spans="1:28" ht="14.25" x14ac:dyDescent="0.2">
      <c r="A6" s="1"/>
      <c r="B6" s="9">
        <v>8</v>
      </c>
      <c r="C6" s="11">
        <v>9</v>
      </c>
      <c r="D6" s="185">
        <v>10</v>
      </c>
      <c r="E6" s="185">
        <v>11</v>
      </c>
      <c r="F6" s="11">
        <v>12</v>
      </c>
      <c r="G6" s="11">
        <v>13</v>
      </c>
      <c r="H6" s="9">
        <v>14</v>
      </c>
      <c r="I6" s="7"/>
      <c r="J6" s="9">
        <v>5</v>
      </c>
      <c r="K6" s="11">
        <v>6</v>
      </c>
      <c r="L6" s="11">
        <v>7</v>
      </c>
      <c r="M6" s="11">
        <v>8</v>
      </c>
      <c r="N6" s="11">
        <v>9</v>
      </c>
      <c r="O6" s="11">
        <v>10</v>
      </c>
      <c r="P6" s="9">
        <v>11</v>
      </c>
      <c r="Q6" s="5"/>
      <c r="S6" s="185" t="s">
        <v>37</v>
      </c>
      <c r="T6" s="40" t="s">
        <v>18</v>
      </c>
      <c r="U6" s="40"/>
      <c r="V6" s="69"/>
      <c r="W6" s="1">
        <f t="shared" ref="W6:W14" si="0">Z6/2</f>
        <v>0</v>
      </c>
      <c r="X6" s="322">
        <f ca="1">CountCellsByColor(A1:Q53,S6)</f>
        <v>3</v>
      </c>
      <c r="Y6" s="323"/>
      <c r="Z6" s="70"/>
      <c r="AA6" s="70">
        <f ca="1">X6-W6</f>
        <v>3</v>
      </c>
      <c r="AB6" s="5"/>
    </row>
    <row r="7" spans="1:28" ht="14.25" x14ac:dyDescent="0.2">
      <c r="A7" s="1"/>
      <c r="B7" s="9">
        <v>15</v>
      </c>
      <c r="C7" s="11">
        <v>16</v>
      </c>
      <c r="D7" s="11">
        <v>17</v>
      </c>
      <c r="E7" s="11">
        <v>18</v>
      </c>
      <c r="F7" s="11">
        <v>19</v>
      </c>
      <c r="G7" s="11">
        <v>20</v>
      </c>
      <c r="H7" s="9">
        <v>21</v>
      </c>
      <c r="I7" s="7"/>
      <c r="J7" s="9">
        <v>12</v>
      </c>
      <c r="K7" s="11">
        <v>13</v>
      </c>
      <c r="L7" s="11">
        <v>14</v>
      </c>
      <c r="M7" s="11">
        <v>15</v>
      </c>
      <c r="N7" s="11">
        <v>16</v>
      </c>
      <c r="O7" s="11">
        <v>17</v>
      </c>
      <c r="P7" s="9">
        <v>18</v>
      </c>
      <c r="Q7" s="5"/>
      <c r="S7" s="186"/>
      <c r="T7" s="40" t="s">
        <v>19</v>
      </c>
      <c r="U7" s="40"/>
      <c r="V7" s="69"/>
      <c r="W7" s="1">
        <f t="shared" si="0"/>
        <v>0</v>
      </c>
      <c r="X7" s="322">
        <f ca="1">CountCellsByColor(A1:Q54,S7)</f>
        <v>3</v>
      </c>
      <c r="Y7" s="323"/>
      <c r="Z7" s="70"/>
      <c r="AA7" s="70">
        <f ca="1">X7-W7</f>
        <v>3</v>
      </c>
      <c r="AB7" s="5"/>
    </row>
    <row r="8" spans="1:28" ht="14.25" x14ac:dyDescent="0.2">
      <c r="A8" s="1"/>
      <c r="B8" s="9">
        <v>22</v>
      </c>
      <c r="C8" s="11">
        <v>23</v>
      </c>
      <c r="D8" s="11">
        <v>24</v>
      </c>
      <c r="E8" s="11">
        <v>25</v>
      </c>
      <c r="F8" s="11">
        <v>26</v>
      </c>
      <c r="G8" s="11">
        <v>27</v>
      </c>
      <c r="H8" s="9">
        <v>28</v>
      </c>
      <c r="I8" s="7"/>
      <c r="J8" s="9">
        <v>19</v>
      </c>
      <c r="K8" s="11">
        <v>20</v>
      </c>
      <c r="L8" s="11">
        <v>21</v>
      </c>
      <c r="M8" s="11">
        <v>22</v>
      </c>
      <c r="N8" s="11">
        <v>23</v>
      </c>
      <c r="O8" s="11">
        <v>24</v>
      </c>
      <c r="P8" s="9">
        <v>25</v>
      </c>
      <c r="Q8" s="5"/>
      <c r="S8" s="187" t="s">
        <v>138</v>
      </c>
      <c r="T8" s="257" t="s">
        <v>177</v>
      </c>
      <c r="U8" s="257"/>
      <c r="V8" s="258"/>
      <c r="W8" s="259">
        <f t="shared" si="0"/>
        <v>0</v>
      </c>
      <c r="X8" s="337">
        <f ca="1">CountCellsByColor(A2:Q55,S8)</f>
        <v>0</v>
      </c>
      <c r="Y8" s="338"/>
      <c r="Z8" s="260"/>
      <c r="AA8" s="260">
        <f ca="1">0.34*X8</f>
        <v>0</v>
      </c>
      <c r="AB8" s="5"/>
    </row>
    <row r="9" spans="1:28" ht="14.25" x14ac:dyDescent="0.2">
      <c r="A9" s="1"/>
      <c r="B9" s="11">
        <v>29</v>
      </c>
      <c r="C9" s="11">
        <v>30</v>
      </c>
      <c r="D9" s="11">
        <v>31</v>
      </c>
      <c r="E9" s="321"/>
      <c r="F9" s="314"/>
      <c r="G9" s="314"/>
      <c r="H9" s="314"/>
      <c r="I9" s="13"/>
      <c r="J9" s="12">
        <v>26</v>
      </c>
      <c r="K9" s="11">
        <v>27</v>
      </c>
      <c r="L9" s="11">
        <v>28</v>
      </c>
      <c r="M9" s="339"/>
      <c r="N9" s="330"/>
      <c r="O9" s="330"/>
      <c r="P9" s="326"/>
      <c r="Q9" s="5"/>
      <c r="S9" s="188" t="s">
        <v>139</v>
      </c>
      <c r="T9" s="40" t="s">
        <v>20</v>
      </c>
      <c r="U9" s="40"/>
      <c r="V9" s="69"/>
      <c r="W9" s="1">
        <f t="shared" si="0"/>
        <v>0</v>
      </c>
      <c r="X9" s="71"/>
      <c r="Y9" s="71"/>
      <c r="Z9" s="72"/>
      <c r="AA9" s="72"/>
      <c r="AB9" s="5"/>
    </row>
    <row r="10" spans="1:28" ht="6" customHeight="1" x14ac:dyDescent="0.2">
      <c r="A10" s="1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T10" s="40"/>
      <c r="U10" s="40"/>
      <c r="V10" s="69"/>
      <c r="W10" s="1">
        <f t="shared" si="0"/>
        <v>0</v>
      </c>
      <c r="X10" s="71"/>
      <c r="Y10" s="71"/>
      <c r="Z10" s="72"/>
      <c r="AA10" s="72"/>
      <c r="AB10" s="5"/>
    </row>
    <row r="11" spans="1:28" ht="14.25" x14ac:dyDescent="0.2">
      <c r="A11" s="1"/>
      <c r="B11" s="312" t="s">
        <v>7</v>
      </c>
      <c r="C11" s="312"/>
      <c r="D11" s="312"/>
      <c r="E11" s="312"/>
      <c r="F11" s="312"/>
      <c r="G11" s="312"/>
      <c r="H11" s="312"/>
      <c r="I11" s="4"/>
      <c r="J11" s="312" t="s">
        <v>8</v>
      </c>
      <c r="K11" s="312"/>
      <c r="L11" s="312"/>
      <c r="M11" s="312"/>
      <c r="N11" s="312"/>
      <c r="O11" s="312"/>
      <c r="P11" s="312"/>
      <c r="Q11" s="5"/>
      <c r="S11" s="42"/>
      <c r="T11" s="40"/>
      <c r="U11" s="40"/>
      <c r="V11" s="69"/>
      <c r="W11" s="1">
        <f t="shared" si="0"/>
        <v>0</v>
      </c>
      <c r="X11" s="71"/>
      <c r="Y11" s="71"/>
      <c r="Z11" s="72"/>
      <c r="AA11" s="72"/>
      <c r="AB11" s="5"/>
    </row>
    <row r="12" spans="1:28" ht="14.25" x14ac:dyDescent="0.2">
      <c r="A12" s="1"/>
      <c r="B12" s="6" t="s">
        <v>2</v>
      </c>
      <c r="C12" s="6" t="s">
        <v>3</v>
      </c>
      <c r="D12" s="6" t="s">
        <v>4</v>
      </c>
      <c r="E12" s="6" t="s">
        <v>5</v>
      </c>
      <c r="F12" s="6" t="s">
        <v>4</v>
      </c>
      <c r="G12" s="6" t="s">
        <v>6</v>
      </c>
      <c r="H12" s="6" t="s">
        <v>2</v>
      </c>
      <c r="I12" s="4"/>
      <c r="J12" s="6" t="s">
        <v>2</v>
      </c>
      <c r="K12" s="6" t="s">
        <v>3</v>
      </c>
      <c r="L12" s="6" t="s">
        <v>4</v>
      </c>
      <c r="M12" s="6" t="s">
        <v>5</v>
      </c>
      <c r="N12" s="6" t="s">
        <v>4</v>
      </c>
      <c r="O12" s="6" t="s">
        <v>6</v>
      </c>
      <c r="P12" s="6" t="s">
        <v>2</v>
      </c>
      <c r="Q12" s="5"/>
      <c r="S12" s="43"/>
      <c r="T12" s="40" t="s">
        <v>21</v>
      </c>
      <c r="V12" s="1"/>
      <c r="W12" s="1">
        <f t="shared" si="0"/>
        <v>0</v>
      </c>
      <c r="X12" s="73">
        <f ca="1">CountCellsByColor(B1:R59,S12)</f>
        <v>3</v>
      </c>
      <c r="Y12" s="73"/>
      <c r="Z12" s="70"/>
      <c r="AA12" s="70">
        <f ca="1">X12-W12</f>
        <v>3</v>
      </c>
      <c r="AB12" s="5"/>
    </row>
    <row r="13" spans="1:28" ht="14.25" x14ac:dyDescent="0.2">
      <c r="A13" s="1"/>
      <c r="B13" s="321"/>
      <c r="C13" s="314"/>
      <c r="D13" s="314"/>
      <c r="E13" s="11">
        <v>1</v>
      </c>
      <c r="F13" s="11">
        <v>2</v>
      </c>
      <c r="G13" s="11">
        <v>3</v>
      </c>
      <c r="H13" s="11">
        <v>4</v>
      </c>
      <c r="I13" s="4"/>
      <c r="J13" s="321"/>
      <c r="K13" s="314"/>
      <c r="L13" s="314"/>
      <c r="M13" s="314"/>
      <c r="N13" s="314"/>
      <c r="O13" s="314"/>
      <c r="P13" s="9">
        <v>1</v>
      </c>
      <c r="Q13" s="5"/>
      <c r="S13" s="44"/>
      <c r="T13" s="40" t="s">
        <v>22</v>
      </c>
      <c r="V13" s="1"/>
      <c r="W13" s="1">
        <f t="shared" si="0"/>
        <v>0</v>
      </c>
      <c r="X13" s="73">
        <f ca="1">CountCellsByColor(A1:R60,S13)</f>
        <v>0</v>
      </c>
      <c r="Y13" s="73"/>
      <c r="Z13" s="70"/>
      <c r="AA13" s="70">
        <f ca="1">X13-W13</f>
        <v>0</v>
      </c>
      <c r="AB13" s="5"/>
    </row>
    <row r="14" spans="1:28" x14ac:dyDescent="0.2">
      <c r="A14" s="1"/>
      <c r="B14" s="9">
        <v>5</v>
      </c>
      <c r="C14" s="11">
        <v>6</v>
      </c>
      <c r="D14" s="11">
        <v>7</v>
      </c>
      <c r="E14" s="11">
        <v>8</v>
      </c>
      <c r="F14" s="11">
        <v>9</v>
      </c>
      <c r="G14" s="11">
        <v>10</v>
      </c>
      <c r="H14" s="9">
        <v>11</v>
      </c>
      <c r="I14" s="4"/>
      <c r="J14" s="9">
        <v>2</v>
      </c>
      <c r="K14" s="11">
        <v>3</v>
      </c>
      <c r="L14" s="11">
        <v>4</v>
      </c>
      <c r="M14" s="11">
        <v>5</v>
      </c>
      <c r="N14" s="11">
        <v>6</v>
      </c>
      <c r="O14" s="11">
        <v>7</v>
      </c>
      <c r="P14" s="9">
        <v>8</v>
      </c>
      <c r="Q14" s="5"/>
      <c r="S14" s="80"/>
      <c r="T14" s="2" t="s">
        <v>77</v>
      </c>
      <c r="W14" s="1">
        <f t="shared" si="0"/>
        <v>0</v>
      </c>
      <c r="X14" s="73">
        <f ca="1">CountCellsByColor(A1:R61,S14)</f>
        <v>0</v>
      </c>
      <c r="Y14" s="73"/>
      <c r="Z14" s="73"/>
      <c r="AA14" s="70">
        <f ca="1">X14-W14</f>
        <v>0</v>
      </c>
      <c r="AB14" s="5"/>
    </row>
    <row r="15" spans="1:28" ht="15" thickBot="1" x14ac:dyDescent="0.25">
      <c r="A15" s="1"/>
      <c r="B15" s="9">
        <v>12</v>
      </c>
      <c r="C15" s="11">
        <v>13</v>
      </c>
      <c r="D15" s="11">
        <v>14</v>
      </c>
      <c r="E15" s="11">
        <v>15</v>
      </c>
      <c r="F15" s="11">
        <v>16</v>
      </c>
      <c r="G15" s="11">
        <v>17</v>
      </c>
      <c r="H15" s="9">
        <v>18</v>
      </c>
      <c r="I15" s="4"/>
      <c r="J15" s="9">
        <v>9</v>
      </c>
      <c r="K15" s="11">
        <v>10</v>
      </c>
      <c r="L15" s="11">
        <v>11</v>
      </c>
      <c r="M15" s="11">
        <v>12</v>
      </c>
      <c r="N15" s="11">
        <v>13</v>
      </c>
      <c r="O15" s="11">
        <v>14</v>
      </c>
      <c r="P15" s="9">
        <v>15</v>
      </c>
      <c r="Q15" s="5"/>
      <c r="S15" s="137"/>
      <c r="T15" s="40" t="s">
        <v>94</v>
      </c>
      <c r="W15" s="1">
        <f>Z15/2</f>
        <v>0</v>
      </c>
      <c r="X15" s="73">
        <f ca="1">CountCellsByColor(A1:R62,S15)</f>
        <v>0</v>
      </c>
      <c r="Y15" s="73"/>
      <c r="Z15" s="73"/>
      <c r="AA15" s="70">
        <f ca="1">X15-W15</f>
        <v>0</v>
      </c>
    </row>
    <row r="16" spans="1:28" ht="12.75" customHeight="1" thickBot="1" x14ac:dyDescent="0.25">
      <c r="A16" s="1"/>
      <c r="B16" s="9">
        <v>19</v>
      </c>
      <c r="C16" s="11">
        <v>20</v>
      </c>
      <c r="D16" s="11">
        <v>21</v>
      </c>
      <c r="E16" s="11">
        <v>22</v>
      </c>
      <c r="F16" s="11">
        <v>23</v>
      </c>
      <c r="G16" s="11">
        <v>24</v>
      </c>
      <c r="H16" s="9">
        <v>25</v>
      </c>
      <c r="I16" s="4"/>
      <c r="J16" s="9">
        <v>16</v>
      </c>
      <c r="K16" s="11">
        <v>17</v>
      </c>
      <c r="L16" s="11">
        <v>18</v>
      </c>
      <c r="M16" s="11">
        <v>19</v>
      </c>
      <c r="N16" s="11">
        <v>20</v>
      </c>
      <c r="O16" s="11">
        <v>21</v>
      </c>
      <c r="P16" s="9">
        <v>22</v>
      </c>
      <c r="Q16" s="5"/>
      <c r="S16" s="306"/>
      <c r="T16" s="308" t="s">
        <v>23</v>
      </c>
      <c r="U16" s="309"/>
      <c r="W16" s="159">
        <f ca="1">TODAY()</f>
        <v>43080</v>
      </c>
      <c r="X16" s="160" t="e">
        <f ca="1">DATEDIF(W16,Z21,"d")</f>
        <v>#NUM!</v>
      </c>
    </row>
    <row r="17" spans="1:31" ht="13.5" customHeight="1" thickBot="1" x14ac:dyDescent="0.25">
      <c r="A17" s="1"/>
      <c r="B17" s="12">
        <v>26</v>
      </c>
      <c r="C17" s="11">
        <v>27</v>
      </c>
      <c r="D17" s="11">
        <v>28</v>
      </c>
      <c r="E17" s="32">
        <v>29</v>
      </c>
      <c r="F17" s="32">
        <v>30</v>
      </c>
      <c r="G17" s="32">
        <v>31</v>
      </c>
      <c r="H17" s="33"/>
      <c r="I17" s="4"/>
      <c r="J17" s="9">
        <v>23</v>
      </c>
      <c r="K17" s="11">
        <v>24</v>
      </c>
      <c r="L17" s="11">
        <v>25</v>
      </c>
      <c r="M17" s="11">
        <v>26</v>
      </c>
      <c r="N17" s="11">
        <v>27</v>
      </c>
      <c r="O17" s="11">
        <v>28</v>
      </c>
      <c r="P17" s="9">
        <v>29</v>
      </c>
      <c r="Q17" s="5"/>
      <c r="S17" s="307"/>
      <c r="T17" s="310"/>
      <c r="U17" s="311"/>
      <c r="Z17" s="66"/>
      <c r="AA17" s="66"/>
    </row>
    <row r="18" spans="1:31" ht="16.5" thickBot="1" x14ac:dyDescent="0.25">
      <c r="A18" s="1"/>
      <c r="B18" s="34"/>
      <c r="C18" s="35"/>
      <c r="D18" s="35"/>
      <c r="E18" s="31"/>
      <c r="F18" s="31"/>
      <c r="G18" s="31"/>
      <c r="H18" s="36"/>
      <c r="I18" s="37"/>
      <c r="J18" s="9">
        <v>30</v>
      </c>
      <c r="K18" s="321"/>
      <c r="L18" s="314"/>
      <c r="M18" s="314"/>
      <c r="N18" s="314"/>
      <c r="O18" s="314"/>
      <c r="P18" s="314"/>
      <c r="Q18" s="5"/>
      <c r="S18" s="2" t="s">
        <v>179</v>
      </c>
      <c r="Y18" s="1"/>
      <c r="Z18" s="145">
        <v>0.9</v>
      </c>
      <c r="AA18" s="147" t="s">
        <v>104</v>
      </c>
      <c r="AB18" s="5"/>
    </row>
    <row r="19" spans="1:31" ht="17.25" customHeight="1" thickBot="1" x14ac:dyDescent="0.25">
      <c r="A19" s="1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S19" s="2" t="s">
        <v>180</v>
      </c>
      <c r="Y19" s="1"/>
      <c r="Z19" s="146" t="e">
        <f>[2]Attendance!$H$34</f>
        <v>#NAME?</v>
      </c>
      <c r="AA19" s="147" t="s">
        <v>104</v>
      </c>
      <c r="AB19" s="5"/>
    </row>
    <row r="20" spans="1:31" ht="16.5" thickBot="1" x14ac:dyDescent="0.25">
      <c r="A20" s="1"/>
      <c r="B20" s="312" t="s">
        <v>9</v>
      </c>
      <c r="C20" s="312"/>
      <c r="D20" s="312"/>
      <c r="E20" s="312"/>
      <c r="F20" s="312"/>
      <c r="G20" s="312"/>
      <c r="H20" s="312"/>
      <c r="I20" s="4"/>
      <c r="J20" s="312" t="s">
        <v>10</v>
      </c>
      <c r="K20" s="312"/>
      <c r="L20" s="312"/>
      <c r="M20" s="312"/>
      <c r="N20" s="312"/>
      <c r="O20" s="312"/>
      <c r="P20" s="312"/>
      <c r="Q20" s="5"/>
      <c r="S20" s="161" t="s">
        <v>103</v>
      </c>
      <c r="T20" s="66"/>
      <c r="U20" s="66"/>
      <c r="V20" s="66"/>
      <c r="W20" s="66"/>
      <c r="X20" s="66"/>
      <c r="Y20" s="162"/>
      <c r="Z20" s="163" t="e">
        <f ca="1">Z19*0.083-AA5+AA12+Z18+AA15</f>
        <v>#NAME?</v>
      </c>
      <c r="AA20" s="164" t="s">
        <v>104</v>
      </c>
      <c r="AB20" s="5"/>
    </row>
    <row r="21" spans="1:31" ht="16.5" thickBot="1" x14ac:dyDescent="0.25">
      <c r="A21" s="1"/>
      <c r="B21" s="6" t="s">
        <v>2</v>
      </c>
      <c r="C21" s="6" t="s">
        <v>3</v>
      </c>
      <c r="D21" s="6" t="s">
        <v>4</v>
      </c>
      <c r="E21" s="6" t="s">
        <v>5</v>
      </c>
      <c r="F21" s="6" t="s">
        <v>4</v>
      </c>
      <c r="G21" s="6" t="s">
        <v>6</v>
      </c>
      <c r="H21" s="6" t="s">
        <v>2</v>
      </c>
      <c r="I21" s="4"/>
      <c r="J21" s="6" t="s">
        <v>2</v>
      </c>
      <c r="K21" s="6" t="s">
        <v>3</v>
      </c>
      <c r="L21" s="6" t="s">
        <v>4</v>
      </c>
      <c r="M21" s="6" t="s">
        <v>5</v>
      </c>
      <c r="N21" s="6" t="s">
        <v>4</v>
      </c>
      <c r="O21" s="6" t="s">
        <v>6</v>
      </c>
      <c r="P21" s="6" t="s">
        <v>2</v>
      </c>
      <c r="Q21" s="5"/>
      <c r="S21" s="332" t="s">
        <v>117</v>
      </c>
      <c r="T21" s="332"/>
      <c r="U21" s="332"/>
      <c r="V21" s="332"/>
      <c r="W21" s="165"/>
      <c r="X21" s="165"/>
      <c r="Y21" s="166"/>
      <c r="Z21" s="327"/>
      <c r="AA21" s="328"/>
      <c r="AD21" s="134"/>
    </row>
    <row r="22" spans="1:31" ht="16.5" thickBot="1" x14ac:dyDescent="0.25">
      <c r="A22" s="1"/>
      <c r="B22" s="10"/>
      <c r="C22" s="11">
        <v>1</v>
      </c>
      <c r="D22" s="11">
        <v>2</v>
      </c>
      <c r="E22" s="11">
        <v>3</v>
      </c>
      <c r="F22" s="11">
        <v>4</v>
      </c>
      <c r="G22" s="11">
        <v>5</v>
      </c>
      <c r="H22" s="11">
        <v>6</v>
      </c>
      <c r="I22" s="4"/>
      <c r="J22" s="321"/>
      <c r="K22" s="314"/>
      <c r="L22" s="314"/>
      <c r="M22" s="314"/>
      <c r="N22" s="11">
        <v>1</v>
      </c>
      <c r="O22" s="8">
        <v>2</v>
      </c>
      <c r="P22" s="9">
        <v>3</v>
      </c>
      <c r="Q22" s="5"/>
      <c r="S22" s="167" t="s">
        <v>118</v>
      </c>
      <c r="T22" s="168"/>
      <c r="U22" s="169"/>
      <c r="V22" s="170">
        <f>+Z21</f>
        <v>0</v>
      </c>
      <c r="W22" s="171" t="s">
        <v>104</v>
      </c>
      <c r="X22" s="172"/>
      <c r="Y22" s="173"/>
      <c r="Z22" s="174" t="e">
        <f ca="1">X16*0.083+Z20</f>
        <v>#NUM!</v>
      </c>
      <c r="AA22" s="175" t="s">
        <v>104</v>
      </c>
      <c r="AD22" s="136"/>
    </row>
    <row r="23" spans="1:31" x14ac:dyDescent="0.2">
      <c r="A23" s="1"/>
      <c r="B23" s="9">
        <v>7</v>
      </c>
      <c r="C23" s="11">
        <v>8</v>
      </c>
      <c r="D23" s="11">
        <v>9</v>
      </c>
      <c r="E23" s="11">
        <v>10</v>
      </c>
      <c r="F23" s="11">
        <v>11</v>
      </c>
      <c r="G23" s="11">
        <v>12</v>
      </c>
      <c r="H23" s="9">
        <v>13</v>
      </c>
      <c r="I23" s="4"/>
      <c r="J23" s="9">
        <v>4</v>
      </c>
      <c r="K23" s="11">
        <v>5</v>
      </c>
      <c r="L23" s="11">
        <v>6</v>
      </c>
      <c r="M23" s="11">
        <v>7</v>
      </c>
      <c r="N23" s="11">
        <v>8</v>
      </c>
      <c r="O23" s="11">
        <v>9</v>
      </c>
      <c r="P23" s="9">
        <v>10</v>
      </c>
      <c r="Q23" s="5"/>
      <c r="AD23" s="136"/>
    </row>
    <row r="24" spans="1:31" ht="15.75" x14ac:dyDescent="0.25">
      <c r="A24" s="1"/>
      <c r="B24" s="9">
        <v>14</v>
      </c>
      <c r="C24" s="11">
        <v>15</v>
      </c>
      <c r="D24" s="11">
        <v>16</v>
      </c>
      <c r="E24" s="11">
        <v>17</v>
      </c>
      <c r="F24" s="11">
        <v>18</v>
      </c>
      <c r="G24" s="11">
        <v>19</v>
      </c>
      <c r="H24" s="9">
        <v>20</v>
      </c>
      <c r="I24" s="4"/>
      <c r="J24" s="9">
        <v>11</v>
      </c>
      <c r="K24" s="290">
        <v>12</v>
      </c>
      <c r="L24" s="11">
        <v>13</v>
      </c>
      <c r="M24" s="11">
        <v>14</v>
      </c>
      <c r="N24" s="11">
        <v>15</v>
      </c>
      <c r="O24" s="11">
        <v>16</v>
      </c>
      <c r="P24" s="9">
        <v>17</v>
      </c>
      <c r="Q24" s="5"/>
      <c r="S24" s="74"/>
      <c r="AD24" s="136"/>
    </row>
    <row r="25" spans="1:31" ht="16.5" thickBot="1" x14ac:dyDescent="0.3">
      <c r="A25" s="1"/>
      <c r="B25" s="9">
        <v>21</v>
      </c>
      <c r="C25" s="11">
        <v>22</v>
      </c>
      <c r="D25" s="11">
        <v>23</v>
      </c>
      <c r="E25" s="11">
        <v>24</v>
      </c>
      <c r="F25" s="11">
        <v>25</v>
      </c>
      <c r="G25" s="11">
        <v>26</v>
      </c>
      <c r="H25" s="9">
        <v>27</v>
      </c>
      <c r="I25" s="4"/>
      <c r="J25" s="9">
        <v>18</v>
      </c>
      <c r="K25" s="11">
        <v>19</v>
      </c>
      <c r="L25" s="11">
        <v>20</v>
      </c>
      <c r="M25" s="11">
        <v>21</v>
      </c>
      <c r="N25" s="11">
        <v>22</v>
      </c>
      <c r="O25" s="11">
        <v>23</v>
      </c>
      <c r="P25" s="9">
        <v>24</v>
      </c>
      <c r="Q25" s="5"/>
      <c r="S25" s="243" t="s">
        <v>175</v>
      </c>
      <c r="T25" s="66"/>
      <c r="U25" s="66"/>
      <c r="V25" s="66"/>
      <c r="W25" s="66"/>
      <c r="X25" s="66"/>
      <c r="Y25" s="66"/>
      <c r="Z25" s="66"/>
      <c r="AA25" s="66"/>
      <c r="AB25" s="66"/>
      <c r="AC25" s="66"/>
      <c r="AD25" s="244"/>
    </row>
    <row r="26" spans="1:31" ht="25.5" x14ac:dyDescent="0.2">
      <c r="A26" s="1"/>
      <c r="B26" s="9">
        <v>28</v>
      </c>
      <c r="C26" s="11">
        <v>29</v>
      </c>
      <c r="D26" s="12">
        <v>30</v>
      </c>
      <c r="E26" s="12">
        <v>31</v>
      </c>
      <c r="F26" s="321"/>
      <c r="G26" s="314"/>
      <c r="H26" s="314"/>
      <c r="I26" s="4"/>
      <c r="J26" s="9">
        <v>25</v>
      </c>
      <c r="K26" s="11">
        <v>26</v>
      </c>
      <c r="L26" s="11">
        <v>27</v>
      </c>
      <c r="M26" s="11">
        <v>28</v>
      </c>
      <c r="N26" s="11">
        <v>29</v>
      </c>
      <c r="O26" s="11">
        <v>30</v>
      </c>
      <c r="P26" s="10"/>
      <c r="Q26" s="5"/>
      <c r="R26" s="180"/>
      <c r="S26" s="245" t="s">
        <v>43</v>
      </c>
      <c r="T26" s="246" t="s">
        <v>107</v>
      </c>
      <c r="U26" s="247" t="s">
        <v>108</v>
      </c>
      <c r="V26" s="247" t="s">
        <v>109</v>
      </c>
      <c r="W26" s="248" t="s">
        <v>111</v>
      </c>
      <c r="X26" s="246"/>
      <c r="Y26" s="246"/>
      <c r="Z26" s="249" t="s">
        <v>110</v>
      </c>
      <c r="AA26" s="249" t="s">
        <v>176</v>
      </c>
      <c r="AB26" s="250" t="s">
        <v>113</v>
      </c>
      <c r="AC26" s="251" t="s">
        <v>153</v>
      </c>
      <c r="AD26" s="252" t="s">
        <v>112</v>
      </c>
      <c r="AE26" s="249" t="s">
        <v>114</v>
      </c>
    </row>
    <row r="27" spans="1:31" ht="15.75" customHeight="1" x14ac:dyDescent="0.2">
      <c r="A27" s="1"/>
      <c r="B27" s="3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R27" s="180"/>
      <c r="S27" s="253"/>
      <c r="T27" s="253"/>
      <c r="U27" s="253"/>
      <c r="V27" s="253"/>
      <c r="W27" s="253"/>
      <c r="X27" s="253"/>
      <c r="Y27" s="253"/>
      <c r="Z27" s="253"/>
      <c r="AA27" s="253"/>
      <c r="AB27" s="253"/>
      <c r="AC27" s="253"/>
      <c r="AD27" s="253"/>
      <c r="AE27" s="253"/>
    </row>
    <row r="28" spans="1:31" x14ac:dyDescent="0.2">
      <c r="A28" s="1"/>
      <c r="B28" s="312" t="s">
        <v>11</v>
      </c>
      <c r="C28" s="312"/>
      <c r="D28" s="312"/>
      <c r="E28" s="312"/>
      <c r="F28" s="312"/>
      <c r="G28" s="312"/>
      <c r="H28" s="312"/>
      <c r="I28" s="4"/>
      <c r="J28" s="312" t="s">
        <v>12</v>
      </c>
      <c r="K28" s="312"/>
      <c r="L28" s="312"/>
      <c r="M28" s="312"/>
      <c r="N28" s="312"/>
      <c r="O28" s="312"/>
      <c r="P28" s="312"/>
      <c r="Q28" s="5"/>
      <c r="R28" s="180"/>
      <c r="S28" s="253"/>
      <c r="T28" s="253"/>
      <c r="U28" s="253"/>
      <c r="V28" s="253"/>
      <c r="W28" s="253"/>
      <c r="X28" s="253"/>
      <c r="Y28" s="253"/>
      <c r="Z28" s="253"/>
      <c r="AA28" s="253"/>
      <c r="AB28" s="253"/>
      <c r="AC28" s="253"/>
      <c r="AD28" s="253"/>
      <c r="AE28" s="253"/>
    </row>
    <row r="29" spans="1:31" x14ac:dyDescent="0.2">
      <c r="A29" s="1"/>
      <c r="B29" s="6" t="s">
        <v>2</v>
      </c>
      <c r="C29" s="6" t="s">
        <v>3</v>
      </c>
      <c r="D29" s="6" t="s">
        <v>4</v>
      </c>
      <c r="E29" s="6" t="s">
        <v>5</v>
      </c>
      <c r="F29" s="6" t="s">
        <v>4</v>
      </c>
      <c r="G29" s="6" t="s">
        <v>6</v>
      </c>
      <c r="H29" s="6" t="s">
        <v>2</v>
      </c>
      <c r="I29" s="4"/>
      <c r="J29" s="6" t="s">
        <v>2</v>
      </c>
      <c r="K29" s="6" t="s">
        <v>3</v>
      </c>
      <c r="L29" s="6" t="s">
        <v>4</v>
      </c>
      <c r="M29" s="6" t="s">
        <v>5</v>
      </c>
      <c r="N29" s="6" t="s">
        <v>4</v>
      </c>
      <c r="O29" s="6" t="s">
        <v>6</v>
      </c>
      <c r="P29" s="6" t="s">
        <v>2</v>
      </c>
      <c r="Q29" s="5"/>
      <c r="R29" s="180"/>
      <c r="S29" s="254"/>
      <c r="T29" s="254"/>
      <c r="U29" s="254"/>
      <c r="V29" s="254"/>
      <c r="W29" s="254"/>
      <c r="X29" s="254"/>
      <c r="Y29" s="254"/>
      <c r="Z29" s="254"/>
      <c r="AA29" s="254"/>
      <c r="AB29" s="255"/>
      <c r="AC29" s="254"/>
      <c r="AD29" s="254"/>
      <c r="AE29" s="254"/>
    </row>
    <row r="30" spans="1:31" x14ac:dyDescent="0.2">
      <c r="A30" s="1"/>
      <c r="B30" s="321"/>
      <c r="C30" s="314"/>
      <c r="D30" s="314"/>
      <c r="E30" s="314"/>
      <c r="F30" s="314"/>
      <c r="G30" s="314"/>
      <c r="H30" s="9">
        <v>1</v>
      </c>
      <c r="I30" s="4"/>
      <c r="J30" s="321"/>
      <c r="K30" s="314"/>
      <c r="L30" s="11">
        <v>1</v>
      </c>
      <c r="M30" s="11">
        <v>2</v>
      </c>
      <c r="N30" s="11">
        <v>3</v>
      </c>
      <c r="O30" s="8">
        <v>4</v>
      </c>
      <c r="P30" s="9">
        <v>5</v>
      </c>
      <c r="Q30" s="5"/>
      <c r="R30" s="180"/>
      <c r="S30" s="253"/>
      <c r="T30" s="253"/>
      <c r="U30" s="253"/>
      <c r="V30" s="253"/>
      <c r="W30" s="253"/>
      <c r="X30" s="253"/>
      <c r="Y30" s="253"/>
      <c r="Z30" s="253"/>
      <c r="AA30" s="253"/>
      <c r="AB30" s="253"/>
      <c r="AC30" s="253"/>
      <c r="AD30" s="253"/>
      <c r="AE30" s="253"/>
    </row>
    <row r="31" spans="1:31" x14ac:dyDescent="0.2">
      <c r="A31" s="1"/>
      <c r="B31" s="9">
        <v>2</v>
      </c>
      <c r="C31" s="11">
        <v>3</v>
      </c>
      <c r="D31" s="11">
        <v>4</v>
      </c>
      <c r="E31" s="11">
        <v>5</v>
      </c>
      <c r="F31" s="11">
        <v>6</v>
      </c>
      <c r="G31" s="11">
        <v>7</v>
      </c>
      <c r="H31" s="9">
        <v>8</v>
      </c>
      <c r="I31" s="4"/>
      <c r="J31" s="9">
        <v>6</v>
      </c>
      <c r="K31" s="11">
        <v>7</v>
      </c>
      <c r="L31" s="11">
        <v>8</v>
      </c>
      <c r="M31" s="11">
        <v>9</v>
      </c>
      <c r="N31" s="11">
        <v>10</v>
      </c>
      <c r="O31" s="11">
        <v>11</v>
      </c>
      <c r="P31" s="9">
        <v>12</v>
      </c>
      <c r="Q31" s="5"/>
      <c r="R31" s="180"/>
      <c r="S31" s="256"/>
      <c r="T31" s="256"/>
      <c r="U31" s="253"/>
      <c r="V31" s="256"/>
      <c r="W31" s="256"/>
      <c r="X31" s="256"/>
      <c r="Y31" s="256"/>
      <c r="Z31" s="256"/>
      <c r="AA31" s="253"/>
      <c r="AB31" s="253"/>
      <c r="AC31" s="253"/>
      <c r="AD31" s="253"/>
      <c r="AE31" s="253"/>
    </row>
    <row r="32" spans="1:31" x14ac:dyDescent="0.2">
      <c r="A32" s="1"/>
      <c r="B32" s="9">
        <v>9</v>
      </c>
      <c r="C32" s="11">
        <v>10</v>
      </c>
      <c r="D32" s="11">
        <v>11</v>
      </c>
      <c r="E32" s="11">
        <v>12</v>
      </c>
      <c r="F32" s="11">
        <v>13</v>
      </c>
      <c r="G32" s="11">
        <v>14</v>
      </c>
      <c r="H32" s="9">
        <v>15</v>
      </c>
      <c r="I32" s="4"/>
      <c r="J32" s="9">
        <v>13</v>
      </c>
      <c r="K32" s="11">
        <v>14</v>
      </c>
      <c r="L32" s="11">
        <v>15</v>
      </c>
      <c r="M32" s="11">
        <v>16</v>
      </c>
      <c r="N32" s="11">
        <v>17</v>
      </c>
      <c r="O32" s="11">
        <v>18</v>
      </c>
      <c r="P32" s="9">
        <v>19</v>
      </c>
      <c r="Q32" s="5"/>
      <c r="R32" s="180"/>
      <c r="S32" s="253"/>
      <c r="T32" s="256"/>
      <c r="U32" s="253"/>
      <c r="V32" s="253"/>
      <c r="W32" s="253"/>
      <c r="X32" s="253"/>
      <c r="Y32" s="253"/>
      <c r="Z32" s="253"/>
      <c r="AA32" s="253"/>
      <c r="AB32" s="253"/>
      <c r="AC32" s="253"/>
      <c r="AD32" s="253"/>
      <c r="AE32" s="253"/>
    </row>
    <row r="33" spans="1:23" x14ac:dyDescent="0.2">
      <c r="A33" s="1"/>
      <c r="B33" s="9">
        <v>16</v>
      </c>
      <c r="C33" s="11">
        <v>17</v>
      </c>
      <c r="D33" s="11">
        <v>18</v>
      </c>
      <c r="E33" s="11">
        <v>19</v>
      </c>
      <c r="F33" s="11">
        <v>20</v>
      </c>
      <c r="G33" s="11">
        <v>21</v>
      </c>
      <c r="H33" s="9">
        <v>22</v>
      </c>
      <c r="I33" s="4"/>
      <c r="J33" s="9">
        <v>20</v>
      </c>
      <c r="K33" s="11">
        <v>21</v>
      </c>
      <c r="L33" s="11">
        <v>22</v>
      </c>
      <c r="M33" s="11">
        <v>23</v>
      </c>
      <c r="N33" s="11">
        <v>24</v>
      </c>
      <c r="O33" s="11">
        <v>25</v>
      </c>
      <c r="P33" s="9">
        <v>26</v>
      </c>
      <c r="Q33" s="5"/>
      <c r="R33" s="180"/>
    </row>
    <row r="34" spans="1:23" x14ac:dyDescent="0.2">
      <c r="A34" s="1"/>
      <c r="B34" s="9">
        <v>23</v>
      </c>
      <c r="C34" s="11">
        <v>24</v>
      </c>
      <c r="D34" s="11">
        <v>25</v>
      </c>
      <c r="E34" s="11">
        <v>26</v>
      </c>
      <c r="F34" s="11">
        <v>27</v>
      </c>
      <c r="G34" s="11">
        <v>28</v>
      </c>
      <c r="H34" s="9">
        <v>29</v>
      </c>
      <c r="I34" s="4"/>
      <c r="J34" s="9">
        <v>27</v>
      </c>
      <c r="K34" s="11">
        <v>28</v>
      </c>
      <c r="L34" s="11">
        <v>29</v>
      </c>
      <c r="M34" s="11">
        <v>30</v>
      </c>
      <c r="N34" s="11">
        <v>31</v>
      </c>
      <c r="O34" s="321"/>
      <c r="P34" s="314"/>
      <c r="Q34" s="5"/>
      <c r="R34" s="180"/>
    </row>
    <row r="35" spans="1:23" x14ac:dyDescent="0.2">
      <c r="A35" s="1"/>
      <c r="B35" s="9">
        <v>30</v>
      </c>
      <c r="C35" s="27">
        <v>31</v>
      </c>
      <c r="D35" s="329"/>
      <c r="E35" s="330"/>
      <c r="F35" s="330"/>
      <c r="G35" s="330"/>
      <c r="H35" s="326"/>
      <c r="I35" s="38"/>
      <c r="J35" s="31"/>
      <c r="K35" s="31"/>
      <c r="L35" s="31"/>
      <c r="M35" s="31"/>
      <c r="N35" s="31"/>
      <c r="O35" s="31"/>
      <c r="P35" s="31"/>
      <c r="Q35" s="5"/>
      <c r="R35" s="180"/>
      <c r="W35" s="77"/>
    </row>
    <row r="36" spans="1:23" ht="13.5" customHeight="1" x14ac:dyDescent="0.2">
      <c r="A36" s="1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R36" s="180"/>
      <c r="U36" s="66"/>
    </row>
    <row r="37" spans="1:23" x14ac:dyDescent="0.2">
      <c r="A37" s="1"/>
      <c r="B37" s="312" t="s">
        <v>13</v>
      </c>
      <c r="C37" s="312"/>
      <c r="D37" s="312"/>
      <c r="E37" s="312"/>
      <c r="F37" s="312"/>
      <c r="G37" s="312"/>
      <c r="H37" s="312"/>
      <c r="I37" s="4"/>
      <c r="J37" s="312" t="s">
        <v>14</v>
      </c>
      <c r="K37" s="312"/>
      <c r="L37" s="312"/>
      <c r="M37" s="312"/>
      <c r="N37" s="312"/>
      <c r="O37" s="312"/>
      <c r="P37" s="312"/>
      <c r="Q37" s="5"/>
      <c r="R37" s="180"/>
      <c r="T37" s="1"/>
      <c r="U37" s="179"/>
      <c r="V37" s="5"/>
    </row>
    <row r="38" spans="1:23" x14ac:dyDescent="0.2">
      <c r="A38" s="1"/>
      <c r="B38" s="6" t="s">
        <v>2</v>
      </c>
      <c r="C38" s="6" t="s">
        <v>3</v>
      </c>
      <c r="D38" s="6" t="s">
        <v>4</v>
      </c>
      <c r="E38" s="6" t="s">
        <v>5</v>
      </c>
      <c r="F38" s="6" t="s">
        <v>4</v>
      </c>
      <c r="G38" s="6" t="s">
        <v>6</v>
      </c>
      <c r="H38" s="6" t="s">
        <v>2</v>
      </c>
      <c r="I38" s="4"/>
      <c r="J38" s="6" t="s">
        <v>2</v>
      </c>
      <c r="K38" s="6" t="s">
        <v>3</v>
      </c>
      <c r="L38" s="6" t="s">
        <v>4</v>
      </c>
      <c r="M38" s="6" t="s">
        <v>5</v>
      </c>
      <c r="N38" s="6" t="s">
        <v>4</v>
      </c>
      <c r="O38" s="6" t="s">
        <v>6</v>
      </c>
      <c r="P38" s="6" t="s">
        <v>2</v>
      </c>
      <c r="Q38" s="5"/>
      <c r="R38" s="180"/>
      <c r="T38" s="78"/>
      <c r="U38" s="181"/>
      <c r="V38" s="66"/>
    </row>
    <row r="39" spans="1:23" ht="15" x14ac:dyDescent="0.25">
      <c r="A39" s="1"/>
      <c r="B39" s="313"/>
      <c r="C39" s="314"/>
      <c r="D39" s="314"/>
      <c r="E39" s="314"/>
      <c r="F39" s="314"/>
      <c r="G39" s="8">
        <v>1</v>
      </c>
      <c r="H39" s="291">
        <v>2</v>
      </c>
      <c r="I39" s="4"/>
      <c r="J39" s="9">
        <v>1</v>
      </c>
      <c r="K39" s="11">
        <v>2</v>
      </c>
      <c r="L39" s="11">
        <v>3</v>
      </c>
      <c r="M39" s="11">
        <v>4</v>
      </c>
      <c r="N39" s="11">
        <v>5</v>
      </c>
      <c r="O39" s="8">
        <v>6</v>
      </c>
      <c r="P39" s="9">
        <v>7</v>
      </c>
      <c r="Q39" s="5"/>
      <c r="R39" s="180"/>
      <c r="T39" s="1"/>
      <c r="U39" s="305"/>
      <c r="V39" s="305"/>
      <c r="W39" s="5"/>
    </row>
    <row r="40" spans="1:23" x14ac:dyDescent="0.2">
      <c r="A40" s="1"/>
      <c r="B40" s="291">
        <v>3</v>
      </c>
      <c r="C40" s="292">
        <v>4</v>
      </c>
      <c r="D40" s="11">
        <v>5</v>
      </c>
      <c r="E40" s="11">
        <v>6</v>
      </c>
      <c r="F40" s="11">
        <v>7</v>
      </c>
      <c r="G40" s="11">
        <v>8</v>
      </c>
      <c r="H40" s="9">
        <v>9</v>
      </c>
      <c r="I40" s="4"/>
      <c r="J40" s="9">
        <v>8</v>
      </c>
      <c r="K40" s="11">
        <v>9</v>
      </c>
      <c r="L40" s="11">
        <v>10</v>
      </c>
      <c r="M40" s="11">
        <v>11</v>
      </c>
      <c r="N40" s="11">
        <v>12</v>
      </c>
      <c r="O40" s="11">
        <v>13</v>
      </c>
      <c r="P40" s="9">
        <v>14</v>
      </c>
      <c r="Q40" s="5"/>
      <c r="R40" s="180"/>
      <c r="T40" s="78"/>
      <c r="U40" s="17"/>
      <c r="V40" s="182"/>
    </row>
    <row r="41" spans="1:23" x14ac:dyDescent="0.2">
      <c r="A41" s="1"/>
      <c r="B41" s="9">
        <v>10</v>
      </c>
      <c r="C41" s="11">
        <v>11</v>
      </c>
      <c r="D41" s="11">
        <v>12</v>
      </c>
      <c r="E41" s="11">
        <v>13</v>
      </c>
      <c r="F41" s="11">
        <v>14</v>
      </c>
      <c r="G41" s="11">
        <v>15</v>
      </c>
      <c r="H41" s="9">
        <v>16</v>
      </c>
      <c r="I41" s="4"/>
      <c r="J41" s="9">
        <v>15</v>
      </c>
      <c r="K41" s="11">
        <v>16</v>
      </c>
      <c r="L41" s="11">
        <v>17</v>
      </c>
      <c r="M41" s="11">
        <v>18</v>
      </c>
      <c r="N41" s="11">
        <v>19</v>
      </c>
      <c r="O41" s="11">
        <v>20</v>
      </c>
      <c r="P41" s="9">
        <v>21</v>
      </c>
      <c r="Q41" s="5"/>
      <c r="R41" s="180"/>
      <c r="T41" s="78"/>
      <c r="U41" s="76"/>
    </row>
    <row r="42" spans="1:23" x14ac:dyDescent="0.2">
      <c r="A42" s="1"/>
      <c r="B42" s="9">
        <v>17</v>
      </c>
      <c r="C42" s="11">
        <v>18</v>
      </c>
      <c r="D42" s="11">
        <v>19</v>
      </c>
      <c r="E42" s="11">
        <v>20</v>
      </c>
      <c r="F42" s="11">
        <v>21</v>
      </c>
      <c r="G42" s="11">
        <v>22</v>
      </c>
      <c r="H42" s="9">
        <v>23</v>
      </c>
      <c r="I42" s="4"/>
      <c r="J42" s="9">
        <v>22</v>
      </c>
      <c r="K42" s="11">
        <v>23</v>
      </c>
      <c r="L42" s="11">
        <v>24</v>
      </c>
      <c r="M42" s="11">
        <v>25</v>
      </c>
      <c r="N42" s="11">
        <v>26</v>
      </c>
      <c r="O42" s="11">
        <v>27</v>
      </c>
      <c r="P42" s="9">
        <v>28</v>
      </c>
      <c r="Q42" s="5"/>
      <c r="R42" s="180"/>
      <c r="U42" s="183"/>
    </row>
    <row r="43" spans="1:23" x14ac:dyDescent="0.2">
      <c r="A43" s="1"/>
      <c r="B43" s="11">
        <v>24</v>
      </c>
      <c r="C43" s="11">
        <v>25</v>
      </c>
      <c r="D43" s="11">
        <v>26</v>
      </c>
      <c r="E43" s="11">
        <v>27</v>
      </c>
      <c r="F43" s="11">
        <v>28</v>
      </c>
      <c r="G43" s="11">
        <v>29</v>
      </c>
      <c r="H43" s="9">
        <v>30</v>
      </c>
      <c r="I43" s="4"/>
      <c r="J43" s="11">
        <v>29</v>
      </c>
      <c r="K43" s="11">
        <v>30</v>
      </c>
      <c r="L43" s="11">
        <v>31</v>
      </c>
      <c r="M43" s="321"/>
      <c r="N43" s="314"/>
      <c r="O43" s="314"/>
      <c r="P43" s="314"/>
      <c r="Q43" s="5"/>
      <c r="R43" s="180"/>
      <c r="U43" s="79"/>
    </row>
    <row r="44" spans="1:23" ht="6" customHeight="1" x14ac:dyDescent="0.2">
      <c r="A44" s="1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</row>
    <row r="45" spans="1:23" x14ac:dyDescent="0.2">
      <c r="A45" s="1"/>
      <c r="B45" s="312" t="s">
        <v>15</v>
      </c>
      <c r="C45" s="312"/>
      <c r="D45" s="312"/>
      <c r="E45" s="312"/>
      <c r="F45" s="312"/>
      <c r="G45" s="312"/>
      <c r="H45" s="312"/>
      <c r="I45" s="4"/>
      <c r="J45" s="312" t="s">
        <v>16</v>
      </c>
      <c r="K45" s="312"/>
      <c r="L45" s="312"/>
      <c r="M45" s="312"/>
      <c r="N45" s="312"/>
      <c r="O45" s="312"/>
      <c r="P45" s="312"/>
      <c r="Q45" s="5"/>
    </row>
    <row r="46" spans="1:23" x14ac:dyDescent="0.2">
      <c r="A46" s="1"/>
      <c r="B46" s="6" t="s">
        <v>2</v>
      </c>
      <c r="C46" s="6" t="s">
        <v>3</v>
      </c>
      <c r="D46" s="6" t="s">
        <v>4</v>
      </c>
      <c r="E46" s="6" t="s">
        <v>5</v>
      </c>
      <c r="F46" s="6" t="s">
        <v>4</v>
      </c>
      <c r="G46" s="6" t="s">
        <v>6</v>
      </c>
      <c r="H46" s="6" t="s">
        <v>2</v>
      </c>
      <c r="I46" s="4"/>
      <c r="J46" s="6" t="s">
        <v>2</v>
      </c>
      <c r="K46" s="6" t="s">
        <v>3</v>
      </c>
      <c r="L46" s="6" t="s">
        <v>4</v>
      </c>
      <c r="M46" s="6" t="s">
        <v>5</v>
      </c>
      <c r="N46" s="6" t="s">
        <v>4</v>
      </c>
      <c r="O46" s="6" t="s">
        <v>6</v>
      </c>
      <c r="P46" s="6" t="s">
        <v>2</v>
      </c>
      <c r="Q46" s="5"/>
    </row>
    <row r="47" spans="1:23" x14ac:dyDescent="0.2">
      <c r="A47" s="1"/>
      <c r="B47" s="321"/>
      <c r="C47" s="314"/>
      <c r="D47" s="314"/>
      <c r="E47" s="11">
        <v>1</v>
      </c>
      <c r="F47" s="11">
        <v>2</v>
      </c>
      <c r="G47" s="11">
        <v>3</v>
      </c>
      <c r="H47" s="11">
        <v>4</v>
      </c>
      <c r="I47" s="4"/>
      <c r="J47" s="313"/>
      <c r="K47" s="314"/>
      <c r="L47" s="314"/>
      <c r="M47" s="314"/>
      <c r="N47" s="314"/>
      <c r="O47" s="8">
        <v>1</v>
      </c>
      <c r="P47" s="9">
        <v>2</v>
      </c>
      <c r="Q47" s="5"/>
    </row>
    <row r="48" spans="1:23" x14ac:dyDescent="0.2">
      <c r="A48" s="1"/>
      <c r="B48" s="9">
        <v>5</v>
      </c>
      <c r="C48" s="11">
        <v>6</v>
      </c>
      <c r="D48" s="11">
        <v>7</v>
      </c>
      <c r="E48" s="11">
        <v>8</v>
      </c>
      <c r="F48" s="11">
        <v>9</v>
      </c>
      <c r="G48" s="27">
        <v>10</v>
      </c>
      <c r="H48" s="9">
        <v>11</v>
      </c>
      <c r="I48" s="4"/>
      <c r="J48" s="9">
        <v>3</v>
      </c>
      <c r="K48" s="11">
        <v>4</v>
      </c>
      <c r="L48" s="11">
        <v>5</v>
      </c>
      <c r="M48" s="11">
        <v>6</v>
      </c>
      <c r="N48" s="11">
        <v>7</v>
      </c>
      <c r="O48" s="11">
        <v>8</v>
      </c>
      <c r="P48" s="9">
        <v>9</v>
      </c>
      <c r="Q48" s="5"/>
    </row>
    <row r="49" spans="1:34" x14ac:dyDescent="0.2">
      <c r="A49" s="1"/>
      <c r="B49" s="9">
        <v>12</v>
      </c>
      <c r="C49" s="11">
        <v>13</v>
      </c>
      <c r="D49" s="11">
        <v>14</v>
      </c>
      <c r="E49" s="11">
        <v>15</v>
      </c>
      <c r="F49" s="11">
        <v>16</v>
      </c>
      <c r="G49" s="11">
        <v>17</v>
      </c>
      <c r="H49" s="9">
        <v>18</v>
      </c>
      <c r="I49" s="4"/>
      <c r="J49" s="9">
        <v>10</v>
      </c>
      <c r="K49" s="11">
        <v>11</v>
      </c>
      <c r="L49" s="11">
        <v>12</v>
      </c>
      <c r="M49" s="11">
        <v>13</v>
      </c>
      <c r="N49" s="11">
        <v>14</v>
      </c>
      <c r="O49" s="11">
        <v>15</v>
      </c>
      <c r="P49" s="9">
        <v>16</v>
      </c>
      <c r="Q49" s="5"/>
    </row>
    <row r="50" spans="1:34" x14ac:dyDescent="0.2">
      <c r="A50" s="1"/>
      <c r="B50" s="9">
        <v>19</v>
      </c>
      <c r="C50" s="11">
        <v>20</v>
      </c>
      <c r="D50" s="11">
        <v>21</v>
      </c>
      <c r="E50" s="11">
        <v>22</v>
      </c>
      <c r="F50" s="11">
        <v>23</v>
      </c>
      <c r="G50" s="11">
        <v>24</v>
      </c>
      <c r="H50" s="9">
        <v>25</v>
      </c>
      <c r="I50" s="4"/>
      <c r="J50" s="9">
        <v>17</v>
      </c>
      <c r="K50" s="11">
        <v>18</v>
      </c>
      <c r="L50" s="11">
        <v>19</v>
      </c>
      <c r="M50" s="11">
        <v>20</v>
      </c>
      <c r="N50" s="11">
        <v>21</v>
      </c>
      <c r="O50" s="11">
        <v>22</v>
      </c>
      <c r="P50" s="9">
        <v>23</v>
      </c>
      <c r="Q50" s="5"/>
    </row>
    <row r="51" spans="1:34" x14ac:dyDescent="0.2">
      <c r="A51" s="1"/>
      <c r="B51" s="12">
        <v>26</v>
      </c>
      <c r="C51" s="11">
        <v>27</v>
      </c>
      <c r="D51" s="11">
        <v>28</v>
      </c>
      <c r="E51" s="32">
        <v>29</v>
      </c>
      <c r="F51" s="32">
        <v>30</v>
      </c>
      <c r="G51" s="315"/>
      <c r="H51" s="326"/>
      <c r="I51" s="4"/>
      <c r="J51" s="233">
        <v>24</v>
      </c>
      <c r="K51" s="233">
        <v>25</v>
      </c>
      <c r="L51" s="233">
        <v>26</v>
      </c>
      <c r="M51" s="233">
        <v>27</v>
      </c>
      <c r="N51" s="233">
        <v>28</v>
      </c>
      <c r="O51" s="233">
        <v>29</v>
      </c>
      <c r="P51" s="232">
        <v>30</v>
      </c>
      <c r="Q51" s="5"/>
    </row>
    <row r="52" spans="1:34" x14ac:dyDescent="0.2">
      <c r="B52" s="20"/>
      <c r="C52" s="20"/>
      <c r="D52" s="20"/>
      <c r="E52" s="20"/>
      <c r="F52" s="20"/>
      <c r="G52" s="20"/>
      <c r="H52" s="20"/>
      <c r="I52" s="21"/>
      <c r="J52" s="232">
        <v>31</v>
      </c>
      <c r="K52" s="315"/>
      <c r="L52" s="330"/>
      <c r="M52" s="330"/>
      <c r="N52" s="330"/>
      <c r="O52" s="330"/>
      <c r="P52" s="326"/>
      <c r="Q52" s="5"/>
      <c r="R52" s="66"/>
      <c r="AF52" s="66"/>
      <c r="AG52" s="66"/>
    </row>
    <row r="53" spans="1:34" x14ac:dyDescent="0.2">
      <c r="J53" s="17"/>
      <c r="K53" s="17"/>
      <c r="L53" s="17"/>
      <c r="M53" s="17"/>
      <c r="N53" s="17"/>
      <c r="O53" s="17"/>
      <c r="P53" s="17"/>
      <c r="Q53" s="1"/>
      <c r="R53" s="71"/>
      <c r="S53" s="72"/>
      <c r="T53" s="71"/>
      <c r="U53" s="72"/>
      <c r="V53" s="71"/>
      <c r="W53" s="71"/>
      <c r="X53" s="71"/>
      <c r="Y53" s="71"/>
      <c r="Z53" s="71"/>
      <c r="AA53" s="72"/>
      <c r="AB53" s="72"/>
      <c r="AC53" s="72"/>
      <c r="AD53" s="72"/>
      <c r="AE53" s="72"/>
      <c r="AF53" s="71"/>
      <c r="AG53" s="71"/>
      <c r="AH53" s="5"/>
    </row>
    <row r="54" spans="1:34" x14ac:dyDescent="0.2">
      <c r="Q54" s="1"/>
      <c r="R54" s="71"/>
      <c r="S54" s="72"/>
      <c r="T54" s="71"/>
      <c r="U54" s="72"/>
      <c r="V54" s="71"/>
      <c r="W54" s="71"/>
      <c r="X54" s="71"/>
      <c r="Y54" s="71"/>
      <c r="Z54" s="71"/>
      <c r="AA54" s="72"/>
      <c r="AB54" s="72"/>
      <c r="AC54" s="72"/>
      <c r="AD54" s="72"/>
      <c r="AE54" s="72"/>
      <c r="AF54" s="71"/>
      <c r="AG54" s="71"/>
      <c r="AH54" s="5"/>
    </row>
    <row r="55" spans="1:34" x14ac:dyDescent="0.2">
      <c r="Q55" s="1"/>
      <c r="R55" s="71"/>
      <c r="S55" s="72"/>
      <c r="T55" s="72"/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2"/>
      <c r="AF55" s="71"/>
      <c r="AG55" s="71"/>
      <c r="AH55" s="5"/>
    </row>
    <row r="56" spans="1:34" x14ac:dyDescent="0.2">
      <c r="Q56" s="1"/>
      <c r="R56" s="71"/>
      <c r="S56" s="72"/>
      <c r="T56" s="71"/>
      <c r="U56" s="72"/>
      <c r="V56" s="71"/>
      <c r="W56" s="71"/>
      <c r="X56" s="71"/>
      <c r="Y56" s="71"/>
      <c r="Z56" s="71"/>
      <c r="AA56" s="72"/>
      <c r="AB56" s="72"/>
      <c r="AC56" s="72"/>
      <c r="AD56" s="72"/>
      <c r="AE56" s="71"/>
      <c r="AF56" s="71"/>
      <c r="AG56" s="71"/>
      <c r="AH56" s="5"/>
    </row>
    <row r="57" spans="1:34" x14ac:dyDescent="0.2">
      <c r="Q57" s="1"/>
      <c r="R57" s="71"/>
      <c r="S57" s="71"/>
      <c r="T57" s="71"/>
      <c r="U57" s="71"/>
      <c r="V57" s="71"/>
      <c r="W57" s="71"/>
      <c r="X57" s="71"/>
      <c r="Y57" s="71"/>
      <c r="Z57" s="71"/>
      <c r="AA57" s="71"/>
      <c r="AB57" s="71"/>
      <c r="AC57" s="71"/>
      <c r="AD57" s="71"/>
      <c r="AE57" s="71"/>
      <c r="AF57" s="71"/>
      <c r="AG57" s="71"/>
      <c r="AH57" s="5"/>
    </row>
    <row r="58" spans="1:34" x14ac:dyDescent="0.2">
      <c r="Q58" s="1"/>
      <c r="R58" s="71"/>
      <c r="S58" s="71"/>
      <c r="T58" s="71"/>
      <c r="U58" s="71"/>
      <c r="V58" s="71"/>
      <c r="W58" s="71"/>
      <c r="X58" s="71"/>
      <c r="Y58" s="71"/>
      <c r="Z58" s="71"/>
      <c r="AA58" s="71"/>
      <c r="AB58" s="71"/>
      <c r="AC58" s="71"/>
      <c r="AD58" s="71"/>
      <c r="AE58" s="71"/>
      <c r="AF58" s="71"/>
      <c r="AG58" s="71"/>
      <c r="AH58" s="5"/>
    </row>
    <row r="59" spans="1:34" x14ac:dyDescent="0.2">
      <c r="Q59" s="1"/>
      <c r="R59" s="71"/>
      <c r="S59" s="71"/>
      <c r="T59" s="71"/>
      <c r="U59" s="71"/>
      <c r="V59" s="71"/>
      <c r="W59" s="71"/>
      <c r="X59" s="71"/>
      <c r="Y59" s="71"/>
      <c r="Z59" s="71"/>
      <c r="AA59" s="71"/>
      <c r="AB59" s="71"/>
      <c r="AC59" s="71"/>
      <c r="AD59" s="71"/>
      <c r="AE59" s="71"/>
      <c r="AF59" s="71"/>
      <c r="AG59" s="71"/>
      <c r="AH59" s="5"/>
    </row>
    <row r="60" spans="1:34" x14ac:dyDescent="0.2">
      <c r="R60" s="17"/>
      <c r="S60" s="17"/>
      <c r="T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</row>
  </sheetData>
  <mergeCells count="40">
    <mergeCell ref="G51:H51"/>
    <mergeCell ref="J47:N47"/>
    <mergeCell ref="O34:P34"/>
    <mergeCell ref="K52:P52"/>
    <mergeCell ref="D35:H35"/>
    <mergeCell ref="B39:F39"/>
    <mergeCell ref="M43:P43"/>
    <mergeCell ref="B45:H45"/>
    <mergeCell ref="J45:P45"/>
    <mergeCell ref="B47:D47"/>
    <mergeCell ref="B37:H37"/>
    <mergeCell ref="J37:P37"/>
    <mergeCell ref="B1:P1"/>
    <mergeCell ref="B3:H3"/>
    <mergeCell ref="J3:P3"/>
    <mergeCell ref="J5:L5"/>
    <mergeCell ref="E9:H9"/>
    <mergeCell ref="M9:P9"/>
    <mergeCell ref="B11:H11"/>
    <mergeCell ref="J11:P11"/>
    <mergeCell ref="B20:H20"/>
    <mergeCell ref="J20:P20"/>
    <mergeCell ref="J30:K30"/>
    <mergeCell ref="B13:D13"/>
    <mergeCell ref="J13:O13"/>
    <mergeCell ref="K18:P18"/>
    <mergeCell ref="B28:H28"/>
    <mergeCell ref="J28:P28"/>
    <mergeCell ref="F26:H26"/>
    <mergeCell ref="J22:M22"/>
    <mergeCell ref="B30:G30"/>
    <mergeCell ref="S21:V21"/>
    <mergeCell ref="Z21:AA21"/>
    <mergeCell ref="U39:V39"/>
    <mergeCell ref="X8:Y8"/>
    <mergeCell ref="X5:Y5"/>
    <mergeCell ref="X6:Y6"/>
    <mergeCell ref="X7:Y7"/>
    <mergeCell ref="S16:S17"/>
    <mergeCell ref="T16:U17"/>
  </mergeCells>
  <hyperlinks>
    <hyperlink ref="S5" r:id="rId1"/>
    <hyperlink ref="S6" r:id="rId2"/>
    <hyperlink ref="S8" r:id="rId3"/>
    <hyperlink ref="S9" r:id="rId4"/>
  </hyperlinks>
  <printOptions horizontalCentered="1"/>
  <pageMargins left="0.75" right="0.75" top="0.75" bottom="0.5" header="0.5" footer="0.5"/>
  <pageSetup orientation="portrait" horizontalDpi="300" verticalDpi="300" r:id="rId5"/>
  <headerFooter alignWithMargins="0"/>
  <drawing r:id="rId6"/>
  <legacy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AF53"/>
  <sheetViews>
    <sheetView tabSelected="1" workbookViewId="0">
      <selection activeCell="Z30" sqref="Z30"/>
    </sheetView>
  </sheetViews>
  <sheetFormatPr defaultColWidth="9.140625" defaultRowHeight="12.75" x14ac:dyDescent="0.2"/>
  <cols>
    <col min="1" max="1" width="1.28515625" style="2" customWidth="1"/>
    <col min="2" max="8" width="5.140625" style="2" customWidth="1"/>
    <col min="9" max="9" width="5.7109375" style="2" customWidth="1"/>
    <col min="10" max="16" width="5.140625" style="2" customWidth="1"/>
    <col min="17" max="17" width="1.28515625" style="2" customWidth="1"/>
    <col min="18" max="18" width="3" style="2" bestFit="1" customWidth="1"/>
    <col min="19" max="19" width="6.28515625" style="2" customWidth="1"/>
    <col min="20" max="22" width="9.140625" style="2"/>
    <col min="23" max="23" width="14.7109375" style="2" hidden="1" customWidth="1"/>
    <col min="24" max="24" width="11.85546875" style="2" hidden="1" customWidth="1"/>
    <col min="25" max="25" width="9.140625" style="2" hidden="1" customWidth="1"/>
    <col min="26" max="26" width="10.42578125" style="2" customWidth="1"/>
    <col min="27" max="16384" width="9.140625" style="2"/>
  </cols>
  <sheetData>
    <row r="1" spans="1:28" ht="26.1" customHeight="1" x14ac:dyDescent="0.2">
      <c r="A1" s="1"/>
      <c r="B1" s="318">
        <v>2018</v>
      </c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318"/>
      <c r="P1" s="319"/>
      <c r="S1" s="63" t="s">
        <v>133</v>
      </c>
      <c r="AA1" s="1"/>
    </row>
    <row r="2" spans="1:28" ht="15.75" x14ac:dyDescent="0.25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R2" s="64"/>
      <c r="S2" s="65" t="s">
        <v>62</v>
      </c>
    </row>
    <row r="3" spans="1:28" x14ac:dyDescent="0.2">
      <c r="A3" s="1"/>
      <c r="B3" s="312" t="s">
        <v>0</v>
      </c>
      <c r="C3" s="312"/>
      <c r="D3" s="312"/>
      <c r="E3" s="312"/>
      <c r="F3" s="312"/>
      <c r="G3" s="312"/>
      <c r="H3" s="312"/>
      <c r="I3" s="4"/>
      <c r="J3" s="312" t="s">
        <v>1</v>
      </c>
      <c r="K3" s="312"/>
      <c r="L3" s="312"/>
      <c r="M3" s="312"/>
      <c r="N3" s="312"/>
      <c r="O3" s="312"/>
      <c r="P3" s="312"/>
      <c r="Q3" s="5"/>
      <c r="X3" s="66"/>
      <c r="Y3" s="66"/>
      <c r="Z3" s="66"/>
      <c r="AA3" s="66"/>
    </row>
    <row r="4" spans="1:28" x14ac:dyDescent="0.2">
      <c r="A4" s="1"/>
      <c r="B4" s="6" t="s">
        <v>2</v>
      </c>
      <c r="C4" s="6" t="s">
        <v>3</v>
      </c>
      <c r="D4" s="6" t="s">
        <v>4</v>
      </c>
      <c r="E4" s="6" t="s">
        <v>5</v>
      </c>
      <c r="F4" s="6" t="s">
        <v>4</v>
      </c>
      <c r="G4" s="6" t="s">
        <v>6</v>
      </c>
      <c r="H4" s="6" t="s">
        <v>2</v>
      </c>
      <c r="I4" s="7"/>
      <c r="J4" s="6" t="s">
        <v>2</v>
      </c>
      <c r="K4" s="6" t="s">
        <v>3</v>
      </c>
      <c r="L4" s="6" t="s">
        <v>4</v>
      </c>
      <c r="M4" s="6" t="s">
        <v>5</v>
      </c>
      <c r="N4" s="6" t="s">
        <v>4</v>
      </c>
      <c r="O4" s="6" t="s">
        <v>6</v>
      </c>
      <c r="P4" s="6" t="s">
        <v>2</v>
      </c>
      <c r="Q4" s="5"/>
      <c r="V4" s="1"/>
      <c r="W4" s="1"/>
      <c r="X4" s="67" t="s">
        <v>24</v>
      </c>
      <c r="Y4" s="67"/>
      <c r="Z4" s="68" t="s">
        <v>63</v>
      </c>
      <c r="AA4" s="68" t="s">
        <v>64</v>
      </c>
      <c r="AB4" s="5"/>
    </row>
    <row r="5" spans="1:28" ht="14.25" x14ac:dyDescent="0.2">
      <c r="A5" s="1"/>
      <c r="B5" s="10"/>
      <c r="C5" s="233">
        <v>1</v>
      </c>
      <c r="D5" s="233">
        <v>2</v>
      </c>
      <c r="E5" s="233">
        <v>3</v>
      </c>
      <c r="F5" s="233">
        <v>4</v>
      </c>
      <c r="G5" s="233">
        <v>5</v>
      </c>
      <c r="H5" s="233">
        <v>6</v>
      </c>
      <c r="I5" s="7"/>
      <c r="J5" s="321"/>
      <c r="K5" s="314"/>
      <c r="L5" s="314"/>
      <c r="M5" s="314"/>
      <c r="N5" s="11">
        <v>1</v>
      </c>
      <c r="O5" s="8">
        <v>2</v>
      </c>
      <c r="P5" s="9">
        <v>3</v>
      </c>
      <c r="Q5" s="5"/>
      <c r="S5" s="184" t="s">
        <v>137</v>
      </c>
      <c r="T5" s="40" t="s">
        <v>17</v>
      </c>
      <c r="U5" s="40"/>
      <c r="V5" s="69" t="s">
        <v>32</v>
      </c>
      <c r="W5" s="1">
        <f>Z5/2</f>
        <v>0</v>
      </c>
      <c r="X5" s="322">
        <f ca="1">CountCellsByColor(A1:Q52,S5)</f>
        <v>22</v>
      </c>
      <c r="Y5" s="323"/>
      <c r="Z5" s="70"/>
      <c r="AA5" s="70">
        <f ca="1">X5-W5</f>
        <v>22</v>
      </c>
      <c r="AB5" s="5"/>
    </row>
    <row r="6" spans="1:28" ht="14.25" x14ac:dyDescent="0.2">
      <c r="A6" s="1"/>
      <c r="B6" s="232">
        <v>7</v>
      </c>
      <c r="C6" s="233">
        <v>8</v>
      </c>
      <c r="D6" s="233">
        <v>9</v>
      </c>
      <c r="E6" s="233">
        <v>10</v>
      </c>
      <c r="F6" s="233">
        <v>11</v>
      </c>
      <c r="G6" s="233">
        <v>12</v>
      </c>
      <c r="H6" s="232">
        <v>13</v>
      </c>
      <c r="I6" s="7"/>
      <c r="J6" s="9">
        <v>4</v>
      </c>
      <c r="K6" s="11">
        <v>5</v>
      </c>
      <c r="L6" s="11">
        <v>6</v>
      </c>
      <c r="M6" s="11">
        <v>7</v>
      </c>
      <c r="N6" s="11">
        <v>8</v>
      </c>
      <c r="O6" s="11">
        <v>9</v>
      </c>
      <c r="P6" s="9">
        <v>10</v>
      </c>
      <c r="Q6" s="5"/>
      <c r="S6" s="185" t="s">
        <v>37</v>
      </c>
      <c r="T6" s="40" t="s">
        <v>18</v>
      </c>
      <c r="U6" s="40"/>
      <c r="V6" s="69"/>
      <c r="W6" s="1">
        <f t="shared" ref="W6:W14" si="0">Z6/2</f>
        <v>0</v>
      </c>
      <c r="X6" s="322">
        <f ca="1">CountCellsByColor(A1:Q53,S6)</f>
        <v>0</v>
      </c>
      <c r="Y6" s="323"/>
      <c r="Z6" s="70"/>
      <c r="AA6" s="70">
        <f ca="1">X6-W6</f>
        <v>0</v>
      </c>
      <c r="AB6" s="5"/>
    </row>
    <row r="7" spans="1:28" ht="14.25" x14ac:dyDescent="0.2">
      <c r="A7" s="1"/>
      <c r="B7" s="232">
        <v>14</v>
      </c>
      <c r="C7" s="233">
        <v>15</v>
      </c>
      <c r="D7" s="233">
        <v>16</v>
      </c>
      <c r="E7" s="233">
        <v>17</v>
      </c>
      <c r="F7" s="233">
        <v>18</v>
      </c>
      <c r="G7" s="233">
        <v>19</v>
      </c>
      <c r="H7" s="232">
        <v>20</v>
      </c>
      <c r="I7" s="7"/>
      <c r="J7" s="9">
        <v>11</v>
      </c>
      <c r="K7" s="11">
        <v>12</v>
      </c>
      <c r="L7" s="11">
        <v>13</v>
      </c>
      <c r="M7" s="11">
        <v>14</v>
      </c>
      <c r="N7" s="11">
        <v>15</v>
      </c>
      <c r="O7" s="11">
        <v>16</v>
      </c>
      <c r="P7" s="9">
        <v>17</v>
      </c>
      <c r="Q7" s="5"/>
      <c r="S7" s="186"/>
      <c r="T7" s="40" t="s">
        <v>19</v>
      </c>
      <c r="U7" s="40"/>
      <c r="V7" s="69"/>
      <c r="W7" s="1">
        <f t="shared" si="0"/>
        <v>0</v>
      </c>
      <c r="X7" s="322">
        <f ca="1">CountCellsByColor(A1:Q54,S7)</f>
        <v>0</v>
      </c>
      <c r="Y7" s="323"/>
      <c r="Z7" s="70"/>
      <c r="AA7" s="70">
        <f ca="1">X7-W7</f>
        <v>0</v>
      </c>
      <c r="AB7" s="5"/>
    </row>
    <row r="8" spans="1:28" ht="14.25" x14ac:dyDescent="0.2">
      <c r="A8" s="1"/>
      <c r="B8" s="232">
        <v>21</v>
      </c>
      <c r="C8" s="233">
        <v>22</v>
      </c>
      <c r="D8" s="11">
        <v>23</v>
      </c>
      <c r="E8" s="11">
        <v>24</v>
      </c>
      <c r="F8" s="11">
        <v>25</v>
      </c>
      <c r="G8" s="11">
        <v>26</v>
      </c>
      <c r="H8" s="9">
        <v>27</v>
      </c>
      <c r="I8" s="7"/>
      <c r="J8" s="9">
        <v>18</v>
      </c>
      <c r="K8" s="11">
        <v>19</v>
      </c>
      <c r="L8" s="11">
        <v>20</v>
      </c>
      <c r="M8" s="11">
        <v>21</v>
      </c>
      <c r="N8" s="11">
        <v>22</v>
      </c>
      <c r="O8" s="11">
        <v>23</v>
      </c>
      <c r="P8" s="9">
        <v>24</v>
      </c>
      <c r="Q8" s="5"/>
      <c r="S8" s="187" t="s">
        <v>138</v>
      </c>
      <c r="T8" s="257" t="s">
        <v>177</v>
      </c>
      <c r="U8" s="257"/>
      <c r="V8" s="258"/>
      <c r="W8" s="259">
        <f t="shared" si="0"/>
        <v>0</v>
      </c>
      <c r="X8" s="337">
        <f ca="1">CountCellsByColor(A2:Q55,S8)</f>
        <v>0</v>
      </c>
      <c r="Y8" s="338"/>
      <c r="Z8" s="260"/>
      <c r="AA8" s="260">
        <f ca="1">0.34*X8</f>
        <v>0</v>
      </c>
      <c r="AB8" s="5"/>
    </row>
    <row r="9" spans="1:28" ht="14.25" x14ac:dyDescent="0.2">
      <c r="A9" s="1"/>
      <c r="B9" s="9">
        <v>28</v>
      </c>
      <c r="C9" s="11">
        <v>29</v>
      </c>
      <c r="D9" s="12">
        <v>30</v>
      </c>
      <c r="E9" s="12">
        <v>31</v>
      </c>
      <c r="F9" s="321"/>
      <c r="G9" s="314"/>
      <c r="H9" s="314"/>
      <c r="I9" s="13"/>
      <c r="J9" s="9">
        <v>25</v>
      </c>
      <c r="K9" s="11">
        <v>26</v>
      </c>
      <c r="L9" s="11">
        <v>27</v>
      </c>
      <c r="M9" s="11">
        <v>28</v>
      </c>
      <c r="N9" s="315"/>
      <c r="O9" s="330"/>
      <c r="P9" s="326"/>
      <c r="Q9" s="5"/>
      <c r="S9" s="188" t="s">
        <v>139</v>
      </c>
      <c r="T9" s="40" t="s">
        <v>20</v>
      </c>
      <c r="U9" s="40"/>
      <c r="V9" s="69"/>
      <c r="W9" s="1">
        <f t="shared" si="0"/>
        <v>0</v>
      </c>
      <c r="X9" s="71"/>
      <c r="Y9" s="71"/>
      <c r="Z9" s="72"/>
      <c r="AA9" s="72"/>
      <c r="AB9" s="5"/>
    </row>
    <row r="10" spans="1:28" ht="6" customHeight="1" x14ac:dyDescent="0.2">
      <c r="A10" s="1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  <c r="T10" s="40"/>
      <c r="U10" s="40"/>
      <c r="V10" s="69"/>
      <c r="W10" s="1">
        <f t="shared" si="0"/>
        <v>0</v>
      </c>
      <c r="X10" s="71"/>
      <c r="Y10" s="71"/>
      <c r="Z10" s="72"/>
      <c r="AA10" s="72"/>
      <c r="AB10" s="5"/>
    </row>
    <row r="11" spans="1:28" ht="14.25" x14ac:dyDescent="0.2">
      <c r="A11" s="1"/>
      <c r="B11" s="312" t="s">
        <v>7</v>
      </c>
      <c r="C11" s="312"/>
      <c r="D11" s="312"/>
      <c r="E11" s="312"/>
      <c r="F11" s="312"/>
      <c r="G11" s="312"/>
      <c r="H11" s="312"/>
      <c r="I11" s="4"/>
      <c r="J11" s="312" t="s">
        <v>8</v>
      </c>
      <c r="K11" s="312"/>
      <c r="L11" s="312"/>
      <c r="M11" s="312"/>
      <c r="N11" s="312"/>
      <c r="O11" s="312"/>
      <c r="P11" s="312"/>
      <c r="Q11" s="5"/>
      <c r="S11" s="42"/>
      <c r="T11" s="40"/>
      <c r="U11" s="40"/>
      <c r="V11" s="69"/>
      <c r="W11" s="1">
        <f t="shared" si="0"/>
        <v>0</v>
      </c>
      <c r="X11" s="71"/>
      <c r="Y11" s="71"/>
      <c r="Z11" s="72"/>
      <c r="AA11" s="72"/>
      <c r="AB11" s="5"/>
    </row>
    <row r="12" spans="1:28" ht="14.25" x14ac:dyDescent="0.2">
      <c r="A12" s="1"/>
      <c r="B12" s="6" t="s">
        <v>2</v>
      </c>
      <c r="C12" s="6" t="s">
        <v>3</v>
      </c>
      <c r="D12" s="6" t="s">
        <v>4</v>
      </c>
      <c r="E12" s="6" t="s">
        <v>5</v>
      </c>
      <c r="F12" s="6" t="s">
        <v>4</v>
      </c>
      <c r="G12" s="6" t="s">
        <v>6</v>
      </c>
      <c r="H12" s="6" t="s">
        <v>2</v>
      </c>
      <c r="I12" s="4"/>
      <c r="J12" s="6" t="s">
        <v>2</v>
      </c>
      <c r="K12" s="6" t="s">
        <v>3</v>
      </c>
      <c r="L12" s="6" t="s">
        <v>4</v>
      </c>
      <c r="M12" s="6" t="s">
        <v>5</v>
      </c>
      <c r="N12" s="6" t="s">
        <v>4</v>
      </c>
      <c r="O12" s="6" t="s">
        <v>6</v>
      </c>
      <c r="P12" s="6" t="s">
        <v>2</v>
      </c>
      <c r="Q12" s="5"/>
      <c r="S12" s="43"/>
      <c r="T12" s="40" t="s">
        <v>21</v>
      </c>
      <c r="V12" s="1"/>
      <c r="W12" s="1">
        <f t="shared" si="0"/>
        <v>0</v>
      </c>
      <c r="X12" s="73">
        <f ca="1">CountCellsByColor(B1:R59,S12)</f>
        <v>0</v>
      </c>
      <c r="Y12" s="73"/>
      <c r="Z12" s="70"/>
      <c r="AA12" s="70">
        <f ca="1">X12-W12</f>
        <v>0</v>
      </c>
      <c r="AB12" s="5"/>
    </row>
    <row r="13" spans="1:28" ht="14.25" x14ac:dyDescent="0.2">
      <c r="A13" s="1"/>
      <c r="B13" s="321"/>
      <c r="C13" s="314"/>
      <c r="D13" s="314"/>
      <c r="E13" s="314"/>
      <c r="F13" s="11">
        <v>1</v>
      </c>
      <c r="G13" s="8">
        <v>2</v>
      </c>
      <c r="H13" s="9">
        <v>3</v>
      </c>
      <c r="I13" s="4"/>
      <c r="J13" s="9">
        <v>1</v>
      </c>
      <c r="K13" s="11">
        <v>2</v>
      </c>
      <c r="L13" s="11">
        <v>3</v>
      </c>
      <c r="M13" s="11">
        <v>4</v>
      </c>
      <c r="N13" s="11">
        <v>5</v>
      </c>
      <c r="O13" s="11">
        <v>6</v>
      </c>
      <c r="P13" s="11">
        <v>7</v>
      </c>
      <c r="Q13" s="5"/>
      <c r="S13" s="44"/>
      <c r="T13" s="40" t="s">
        <v>22</v>
      </c>
      <c r="V13" s="1"/>
      <c r="W13" s="1">
        <f t="shared" si="0"/>
        <v>0</v>
      </c>
      <c r="X13" s="73">
        <f ca="1">CountCellsByColor(A1:R60,S13)</f>
        <v>0</v>
      </c>
      <c r="Y13" s="73"/>
      <c r="Z13" s="70"/>
      <c r="AA13" s="70">
        <f ca="1">X13-W13</f>
        <v>0</v>
      </c>
      <c r="AB13" s="5"/>
    </row>
    <row r="14" spans="1:28" x14ac:dyDescent="0.2">
      <c r="A14" s="1"/>
      <c r="B14" s="9">
        <v>4</v>
      </c>
      <c r="C14" s="11">
        <v>5</v>
      </c>
      <c r="D14" s="11">
        <v>6</v>
      </c>
      <c r="E14" s="11">
        <v>7</v>
      </c>
      <c r="F14" s="11">
        <v>8</v>
      </c>
      <c r="G14" s="11">
        <v>9</v>
      </c>
      <c r="H14" s="9">
        <v>10</v>
      </c>
      <c r="I14" s="4"/>
      <c r="J14" s="9">
        <v>8</v>
      </c>
      <c r="K14" s="11">
        <v>9</v>
      </c>
      <c r="L14" s="11">
        <v>10</v>
      </c>
      <c r="M14" s="11">
        <v>11</v>
      </c>
      <c r="N14" s="11">
        <v>12</v>
      </c>
      <c r="O14" s="11">
        <v>13</v>
      </c>
      <c r="P14" s="9">
        <v>14</v>
      </c>
      <c r="Q14" s="5"/>
      <c r="S14" s="80"/>
      <c r="T14" s="2" t="s">
        <v>77</v>
      </c>
      <c r="W14" s="1">
        <f t="shared" si="0"/>
        <v>0</v>
      </c>
      <c r="X14" s="73">
        <f ca="1">CountCellsByColor(A1:R61,S14)</f>
        <v>0</v>
      </c>
      <c r="Y14" s="73"/>
      <c r="Z14" s="73"/>
      <c r="AA14" s="70">
        <f ca="1">X14-W14</f>
        <v>0</v>
      </c>
      <c r="AB14" s="5"/>
    </row>
    <row r="15" spans="1:28" ht="15" thickBot="1" x14ac:dyDescent="0.25">
      <c r="A15" s="1"/>
      <c r="B15" s="9">
        <v>11</v>
      </c>
      <c r="C15" s="11">
        <v>12</v>
      </c>
      <c r="D15" s="11">
        <v>13</v>
      </c>
      <c r="E15" s="11">
        <v>14</v>
      </c>
      <c r="F15" s="11">
        <v>15</v>
      </c>
      <c r="G15" s="11">
        <v>16</v>
      </c>
      <c r="H15" s="9">
        <v>17</v>
      </c>
      <c r="I15" s="4"/>
      <c r="J15" s="9">
        <v>15</v>
      </c>
      <c r="K15" s="11">
        <v>16</v>
      </c>
      <c r="L15" s="11">
        <v>17</v>
      </c>
      <c r="M15" s="11">
        <v>18</v>
      </c>
      <c r="N15" s="11">
        <v>19</v>
      </c>
      <c r="O15" s="11">
        <v>20</v>
      </c>
      <c r="P15" s="9">
        <v>21</v>
      </c>
      <c r="Q15" s="5"/>
      <c r="S15" s="137"/>
      <c r="T15" s="40" t="s">
        <v>94</v>
      </c>
      <c r="W15" s="1">
        <f>Z15/2</f>
        <v>0</v>
      </c>
      <c r="X15" s="73">
        <f ca="1">CountCellsByColor(A1:R62,S15)</f>
        <v>0</v>
      </c>
      <c r="Y15" s="73"/>
      <c r="Z15" s="73"/>
      <c r="AA15" s="70">
        <f ca="1">X15-W15</f>
        <v>0</v>
      </c>
    </row>
    <row r="16" spans="1:28" ht="16.5" thickBot="1" x14ac:dyDescent="0.25">
      <c r="A16" s="1"/>
      <c r="B16" s="9">
        <v>18</v>
      </c>
      <c r="C16" s="11">
        <v>19</v>
      </c>
      <c r="D16" s="11">
        <v>20</v>
      </c>
      <c r="E16" s="11">
        <v>21</v>
      </c>
      <c r="F16" s="11">
        <v>22</v>
      </c>
      <c r="G16" s="11">
        <v>23</v>
      </c>
      <c r="H16" s="9">
        <v>24</v>
      </c>
      <c r="I16" s="4"/>
      <c r="J16" s="9">
        <v>22</v>
      </c>
      <c r="K16" s="11">
        <v>23</v>
      </c>
      <c r="L16" s="11">
        <v>24</v>
      </c>
      <c r="M16" s="11">
        <v>25</v>
      </c>
      <c r="N16" s="11">
        <v>26</v>
      </c>
      <c r="O16" s="11">
        <v>27</v>
      </c>
      <c r="P16" s="9">
        <v>28</v>
      </c>
      <c r="Q16" s="5"/>
      <c r="S16" s="306"/>
      <c r="T16" s="308" t="s">
        <v>23</v>
      </c>
      <c r="U16" s="309"/>
      <c r="W16" s="159">
        <f ca="1">TODAY()</f>
        <v>43080</v>
      </c>
      <c r="X16" s="160" t="e">
        <f ca="1">DATEDIF(W16,Z21,"d")</f>
        <v>#NUM!</v>
      </c>
    </row>
    <row r="17" spans="1:30" ht="13.5" thickBot="1" x14ac:dyDescent="0.25">
      <c r="A17" s="1"/>
      <c r="B17" s="9">
        <v>25</v>
      </c>
      <c r="C17" s="11">
        <v>26</v>
      </c>
      <c r="D17" s="11">
        <v>27</v>
      </c>
      <c r="E17" s="11">
        <v>28</v>
      </c>
      <c r="F17" s="11">
        <v>29</v>
      </c>
      <c r="G17" s="11">
        <v>30</v>
      </c>
      <c r="H17" s="9">
        <v>31</v>
      </c>
      <c r="I17" s="4"/>
      <c r="J17" s="9">
        <v>29</v>
      </c>
      <c r="K17" s="11">
        <v>30</v>
      </c>
      <c r="L17" s="321"/>
      <c r="M17" s="314"/>
      <c r="N17" s="314"/>
      <c r="O17" s="314"/>
      <c r="P17" s="314"/>
      <c r="Q17" s="5"/>
      <c r="S17" s="307"/>
      <c r="T17" s="310"/>
      <c r="U17" s="311"/>
      <c r="Z17" s="66"/>
      <c r="AA17" s="66"/>
    </row>
    <row r="18" spans="1:30" ht="16.5" thickBot="1" x14ac:dyDescent="0.25">
      <c r="A18" s="1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S18" s="2" t="s">
        <v>179</v>
      </c>
      <c r="U18" s="2" t="s">
        <v>204</v>
      </c>
      <c r="Y18" s="1"/>
      <c r="Z18" s="145">
        <v>23.81</v>
      </c>
      <c r="AA18" s="147" t="s">
        <v>104</v>
      </c>
    </row>
    <row r="19" spans="1:30" ht="16.5" thickBot="1" x14ac:dyDescent="0.25">
      <c r="A19" s="1"/>
      <c r="B19" s="312" t="s">
        <v>9</v>
      </c>
      <c r="C19" s="312"/>
      <c r="D19" s="312"/>
      <c r="E19" s="312"/>
      <c r="F19" s="312"/>
      <c r="G19" s="312"/>
      <c r="H19" s="312"/>
      <c r="I19" s="4"/>
      <c r="J19" s="312" t="s">
        <v>10</v>
      </c>
      <c r="K19" s="312"/>
      <c r="L19" s="312"/>
      <c r="M19" s="312"/>
      <c r="N19" s="312"/>
      <c r="O19" s="312"/>
      <c r="P19" s="312"/>
      <c r="Q19" s="5"/>
      <c r="S19" s="2" t="s">
        <v>206</v>
      </c>
      <c r="Y19" s="1"/>
      <c r="Z19" s="146">
        <f ca="1">[3]Attendance!$H$29</f>
        <v>0</v>
      </c>
      <c r="AA19" s="147" t="s">
        <v>104</v>
      </c>
    </row>
    <row r="20" spans="1:30" ht="16.5" thickBot="1" x14ac:dyDescent="0.25">
      <c r="A20" s="1"/>
      <c r="B20" s="6" t="s">
        <v>2</v>
      </c>
      <c r="C20" s="6" t="s">
        <v>3</v>
      </c>
      <c r="D20" s="6" t="s">
        <v>4</v>
      </c>
      <c r="E20" s="6" t="s">
        <v>5</v>
      </c>
      <c r="F20" s="6" t="s">
        <v>4</v>
      </c>
      <c r="G20" s="6" t="s">
        <v>6</v>
      </c>
      <c r="H20" s="6" t="s">
        <v>2</v>
      </c>
      <c r="I20" s="4"/>
      <c r="J20" s="6" t="s">
        <v>2</v>
      </c>
      <c r="K20" s="6" t="s">
        <v>3</v>
      </c>
      <c r="L20" s="6" t="s">
        <v>4</v>
      </c>
      <c r="M20" s="6" t="s">
        <v>5</v>
      </c>
      <c r="N20" s="6" t="s">
        <v>4</v>
      </c>
      <c r="O20" s="6" t="s">
        <v>6</v>
      </c>
      <c r="P20" s="6" t="s">
        <v>2</v>
      </c>
      <c r="Q20" s="5"/>
      <c r="S20" s="161" t="s">
        <v>103</v>
      </c>
      <c r="T20" s="66"/>
      <c r="U20" s="66"/>
      <c r="V20" s="66"/>
      <c r="W20" s="66"/>
      <c r="X20" s="66"/>
      <c r="Y20" s="162"/>
      <c r="Z20" s="163">
        <f ca="1">Z19*0.083-AA5+AA12+Z18+AA15</f>
        <v>1.8099999999999987</v>
      </c>
      <c r="AA20" s="164" t="s">
        <v>104</v>
      </c>
      <c r="AC20"/>
    </row>
    <row r="21" spans="1:30" ht="16.5" thickBot="1" x14ac:dyDescent="0.25">
      <c r="A21" s="1"/>
      <c r="B21" s="321"/>
      <c r="C21" s="314"/>
      <c r="D21" s="11">
        <v>1</v>
      </c>
      <c r="E21" s="11">
        <v>2</v>
      </c>
      <c r="F21" s="11">
        <v>3</v>
      </c>
      <c r="G21" s="11">
        <v>4</v>
      </c>
      <c r="H21" s="9">
        <v>5</v>
      </c>
      <c r="I21" s="4"/>
      <c r="J21" s="321"/>
      <c r="K21" s="314"/>
      <c r="L21" s="314"/>
      <c r="M21" s="314"/>
      <c r="N21" s="314"/>
      <c r="O21" s="11">
        <v>1</v>
      </c>
      <c r="P21" s="11">
        <v>2</v>
      </c>
      <c r="Q21" s="5"/>
      <c r="S21" s="332" t="s">
        <v>117</v>
      </c>
      <c r="T21" s="332"/>
      <c r="U21" s="332"/>
      <c r="V21" s="332"/>
      <c r="W21" s="165"/>
      <c r="X21" s="165"/>
      <c r="Y21" s="166"/>
      <c r="Z21" s="327"/>
      <c r="AA21" s="328"/>
    </row>
    <row r="22" spans="1:30" ht="16.5" thickBot="1" x14ac:dyDescent="0.25">
      <c r="A22" s="1"/>
      <c r="B22" s="9">
        <v>6</v>
      </c>
      <c r="C22" s="11">
        <v>7</v>
      </c>
      <c r="D22" s="11">
        <v>8</v>
      </c>
      <c r="E22" s="11">
        <v>9</v>
      </c>
      <c r="F22" s="11">
        <v>10</v>
      </c>
      <c r="G22" s="11">
        <v>11</v>
      </c>
      <c r="H22" s="9">
        <v>12</v>
      </c>
      <c r="I22" s="4"/>
      <c r="J22" s="9">
        <v>3</v>
      </c>
      <c r="K22" s="11">
        <v>4</v>
      </c>
      <c r="L22" s="11">
        <v>5</v>
      </c>
      <c r="M22" s="11">
        <v>6</v>
      </c>
      <c r="N22" s="11">
        <v>7</v>
      </c>
      <c r="O22" s="11">
        <v>8</v>
      </c>
      <c r="P22" s="9">
        <v>9</v>
      </c>
      <c r="Q22" s="5"/>
      <c r="S22" s="167" t="s">
        <v>118</v>
      </c>
      <c r="T22" s="168"/>
      <c r="U22" s="169"/>
      <c r="V22" s="170">
        <f>+Z21</f>
        <v>0</v>
      </c>
      <c r="W22" s="171" t="s">
        <v>104</v>
      </c>
      <c r="X22" s="172"/>
      <c r="Y22" s="173"/>
      <c r="Z22" s="174" t="e">
        <f ca="1">X16*30/365+Z20</f>
        <v>#NUM!</v>
      </c>
      <c r="AA22" s="175" t="s">
        <v>104</v>
      </c>
    </row>
    <row r="23" spans="1:30" x14ac:dyDescent="0.2">
      <c r="A23" s="1"/>
      <c r="B23" s="9">
        <v>13</v>
      </c>
      <c r="C23" s="11">
        <v>14</v>
      </c>
      <c r="D23" s="11">
        <v>15</v>
      </c>
      <c r="E23" s="11">
        <v>16</v>
      </c>
      <c r="F23" s="11">
        <v>17</v>
      </c>
      <c r="G23" s="11">
        <v>18</v>
      </c>
      <c r="H23" s="9">
        <v>19</v>
      </c>
      <c r="I23" s="4"/>
      <c r="J23" s="9">
        <v>10</v>
      </c>
      <c r="K23" s="11">
        <v>11</v>
      </c>
      <c r="L23" s="11">
        <v>12</v>
      </c>
      <c r="M23" s="11">
        <v>13</v>
      </c>
      <c r="N23" s="11">
        <v>14</v>
      </c>
      <c r="O23" s="11">
        <v>15</v>
      </c>
      <c r="P23" s="9">
        <v>16</v>
      </c>
      <c r="Q23" s="5"/>
      <c r="AC23" s="301"/>
    </row>
    <row r="24" spans="1:30" ht="15.75" x14ac:dyDescent="0.25">
      <c r="A24" s="1"/>
      <c r="B24" s="9">
        <v>20</v>
      </c>
      <c r="C24" s="11">
        <v>21</v>
      </c>
      <c r="D24" s="11">
        <v>22</v>
      </c>
      <c r="E24" s="11">
        <v>23</v>
      </c>
      <c r="F24" s="11">
        <v>24</v>
      </c>
      <c r="G24" s="11">
        <v>25</v>
      </c>
      <c r="H24" s="9">
        <v>26</v>
      </c>
      <c r="I24" s="4"/>
      <c r="J24" s="9">
        <v>17</v>
      </c>
      <c r="K24" s="11">
        <v>18</v>
      </c>
      <c r="L24" s="11">
        <v>19</v>
      </c>
      <c r="M24" s="11">
        <v>20</v>
      </c>
      <c r="N24" s="11">
        <v>21</v>
      </c>
      <c r="O24" s="11">
        <v>22</v>
      </c>
      <c r="P24" s="9">
        <v>23</v>
      </c>
      <c r="Q24" s="5"/>
      <c r="S24" s="74" t="s">
        <v>93</v>
      </c>
    </row>
    <row r="25" spans="1:30" x14ac:dyDescent="0.2">
      <c r="A25" s="1"/>
      <c r="B25" s="11">
        <v>27</v>
      </c>
      <c r="C25" s="11">
        <v>28</v>
      </c>
      <c r="D25" s="11">
        <v>29</v>
      </c>
      <c r="E25" s="11">
        <v>30</v>
      </c>
      <c r="F25" s="11">
        <v>31</v>
      </c>
      <c r="G25" s="321"/>
      <c r="H25" s="314"/>
      <c r="I25" s="4"/>
      <c r="J25" s="9">
        <v>24</v>
      </c>
      <c r="K25" s="11">
        <v>25</v>
      </c>
      <c r="L25" s="12">
        <v>26</v>
      </c>
      <c r="M25" s="12">
        <v>27</v>
      </c>
      <c r="N25" s="12">
        <v>28</v>
      </c>
      <c r="O25" s="12">
        <v>29</v>
      </c>
      <c r="P25" s="12">
        <v>30</v>
      </c>
      <c r="Q25" s="5"/>
    </row>
    <row r="26" spans="1:30" x14ac:dyDescent="0.2">
      <c r="A26" s="1"/>
      <c r="B26" s="3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R26" s="180">
        <v>1</v>
      </c>
      <c r="S26" s="2" t="s">
        <v>80</v>
      </c>
      <c r="U26" s="133" t="s">
        <v>119</v>
      </c>
      <c r="V26" s="133"/>
      <c r="AA26" s="138"/>
      <c r="AC26" s="64"/>
    </row>
    <row r="27" spans="1:30" x14ac:dyDescent="0.2">
      <c r="A27" s="1"/>
      <c r="B27" s="312" t="s">
        <v>11</v>
      </c>
      <c r="C27" s="312"/>
      <c r="D27" s="312"/>
      <c r="E27" s="312"/>
      <c r="F27" s="312"/>
      <c r="G27" s="312"/>
      <c r="H27" s="312"/>
      <c r="I27" s="4"/>
      <c r="J27" s="312" t="s">
        <v>12</v>
      </c>
      <c r="K27" s="312"/>
      <c r="L27" s="312"/>
      <c r="M27" s="312"/>
      <c r="N27" s="312"/>
      <c r="O27" s="312"/>
      <c r="P27" s="312"/>
      <c r="Q27" s="5"/>
      <c r="R27" s="180">
        <v>2</v>
      </c>
      <c r="S27" s="2" t="s">
        <v>81</v>
      </c>
      <c r="U27" s="2" t="s">
        <v>120</v>
      </c>
      <c r="AC27" s="302"/>
      <c r="AD27" s="136"/>
    </row>
    <row r="28" spans="1:30" x14ac:dyDescent="0.2">
      <c r="A28" s="1"/>
      <c r="B28" s="6" t="s">
        <v>2</v>
      </c>
      <c r="C28" s="6" t="s">
        <v>3</v>
      </c>
      <c r="D28" s="6" t="s">
        <v>4</v>
      </c>
      <c r="E28" s="6" t="s">
        <v>5</v>
      </c>
      <c r="F28" s="6" t="s">
        <v>4</v>
      </c>
      <c r="G28" s="6" t="s">
        <v>6</v>
      </c>
      <c r="H28" s="6" t="s">
        <v>2</v>
      </c>
      <c r="I28" s="4"/>
      <c r="J28" s="6" t="s">
        <v>2</v>
      </c>
      <c r="K28" s="6" t="s">
        <v>3</v>
      </c>
      <c r="L28" s="6" t="s">
        <v>4</v>
      </c>
      <c r="M28" s="6" t="s">
        <v>5</v>
      </c>
      <c r="N28" s="6" t="s">
        <v>4</v>
      </c>
      <c r="O28" s="6" t="s">
        <v>6</v>
      </c>
      <c r="P28" s="6" t="s">
        <v>2</v>
      </c>
      <c r="Q28" s="5"/>
      <c r="R28" s="180">
        <v>3</v>
      </c>
      <c r="S28" s="2" t="s">
        <v>82</v>
      </c>
      <c r="U28" s="2" t="s">
        <v>135</v>
      </c>
      <c r="V28" s="75"/>
      <c r="AC28" s="135"/>
      <c r="AD28" s="136"/>
    </row>
    <row r="29" spans="1:30" x14ac:dyDescent="0.2">
      <c r="A29" s="1"/>
      <c r="B29" s="9">
        <v>1</v>
      </c>
      <c r="C29" s="11">
        <v>2</v>
      </c>
      <c r="D29" s="11">
        <v>3</v>
      </c>
      <c r="E29" s="11">
        <v>4</v>
      </c>
      <c r="F29" s="11">
        <v>5</v>
      </c>
      <c r="G29" s="8">
        <v>6</v>
      </c>
      <c r="H29" s="9">
        <v>7</v>
      </c>
      <c r="I29" s="4"/>
      <c r="J29" s="321"/>
      <c r="K29" s="314"/>
      <c r="L29" s="314"/>
      <c r="M29" s="11">
        <v>1</v>
      </c>
      <c r="N29" s="11">
        <v>2</v>
      </c>
      <c r="O29" s="11">
        <v>3</v>
      </c>
      <c r="P29" s="11">
        <v>4</v>
      </c>
      <c r="Q29" s="5"/>
      <c r="R29" s="180">
        <v>4</v>
      </c>
      <c r="S29" s="2" t="s">
        <v>83</v>
      </c>
      <c r="U29" s="76" t="s">
        <v>78</v>
      </c>
      <c r="V29" s="76"/>
      <c r="AC29" s="135"/>
      <c r="AD29" s="136"/>
    </row>
    <row r="30" spans="1:30" x14ac:dyDescent="0.2">
      <c r="A30" s="1"/>
      <c r="B30" s="9">
        <v>8</v>
      </c>
      <c r="C30" s="11">
        <v>9</v>
      </c>
      <c r="D30" s="11">
        <v>10</v>
      </c>
      <c r="E30" s="11">
        <v>11</v>
      </c>
      <c r="F30" s="11">
        <v>12</v>
      </c>
      <c r="G30" s="11">
        <v>13</v>
      </c>
      <c r="H30" s="9">
        <v>14</v>
      </c>
      <c r="I30" s="4"/>
      <c r="J30" s="9">
        <v>5</v>
      </c>
      <c r="K30" s="11">
        <v>6</v>
      </c>
      <c r="L30" s="11">
        <v>7</v>
      </c>
      <c r="M30" s="11">
        <v>8</v>
      </c>
      <c r="N30" s="11">
        <v>9</v>
      </c>
      <c r="O30" s="11">
        <v>10</v>
      </c>
      <c r="P30" s="9">
        <v>11</v>
      </c>
      <c r="Q30" s="5"/>
      <c r="R30" s="180">
        <v>5</v>
      </c>
      <c r="S30" s="2" t="s">
        <v>84</v>
      </c>
      <c r="U30" s="2" t="s">
        <v>79</v>
      </c>
    </row>
    <row r="31" spans="1:30" x14ac:dyDescent="0.2">
      <c r="A31" s="1"/>
      <c r="B31" s="9">
        <v>15</v>
      </c>
      <c r="C31" s="11">
        <v>16</v>
      </c>
      <c r="D31" s="11">
        <v>17</v>
      </c>
      <c r="E31" s="11">
        <v>18</v>
      </c>
      <c r="F31" s="11">
        <v>19</v>
      </c>
      <c r="G31" s="11">
        <v>20</v>
      </c>
      <c r="H31" s="9">
        <v>21</v>
      </c>
      <c r="I31" s="4"/>
      <c r="J31" s="9">
        <v>12</v>
      </c>
      <c r="K31" s="11">
        <v>13</v>
      </c>
      <c r="L31" s="11">
        <v>14</v>
      </c>
      <c r="M31" s="11">
        <v>15</v>
      </c>
      <c r="N31" s="11">
        <v>16</v>
      </c>
      <c r="O31" s="11">
        <v>17</v>
      </c>
      <c r="P31" s="9">
        <v>18</v>
      </c>
      <c r="Q31" s="5"/>
      <c r="R31" s="180">
        <v>6</v>
      </c>
      <c r="S31" s="2" t="s">
        <v>85</v>
      </c>
      <c r="U31" s="2" t="s">
        <v>136</v>
      </c>
    </row>
    <row r="32" spans="1:30" x14ac:dyDescent="0.2">
      <c r="A32" s="1"/>
      <c r="B32" s="9">
        <v>22</v>
      </c>
      <c r="C32" s="11">
        <v>23</v>
      </c>
      <c r="D32" s="11">
        <v>24</v>
      </c>
      <c r="E32" s="11">
        <v>25</v>
      </c>
      <c r="F32" s="11">
        <v>26</v>
      </c>
      <c r="G32" s="11">
        <v>27</v>
      </c>
      <c r="H32" s="9">
        <v>28</v>
      </c>
      <c r="I32" s="4"/>
      <c r="J32" s="9">
        <v>19</v>
      </c>
      <c r="K32" s="11">
        <v>20</v>
      </c>
      <c r="L32" s="11">
        <v>21</v>
      </c>
      <c r="M32" s="11">
        <v>22</v>
      </c>
      <c r="N32" s="11">
        <v>23</v>
      </c>
      <c r="O32" s="11">
        <v>24</v>
      </c>
      <c r="P32" s="9">
        <v>25</v>
      </c>
      <c r="Q32" s="5"/>
      <c r="R32" s="180">
        <v>7</v>
      </c>
      <c r="S32" s="2" t="s">
        <v>86</v>
      </c>
      <c r="U32" s="2" t="s">
        <v>122</v>
      </c>
    </row>
    <row r="33" spans="1:31" x14ac:dyDescent="0.2">
      <c r="A33" s="1"/>
      <c r="B33" s="9">
        <v>29</v>
      </c>
      <c r="C33" s="11">
        <v>30</v>
      </c>
      <c r="D33" s="11">
        <v>31</v>
      </c>
      <c r="E33" s="321"/>
      <c r="F33" s="314"/>
      <c r="G33" s="314"/>
      <c r="H33" s="314"/>
      <c r="I33" s="4"/>
      <c r="J33" s="9">
        <v>26</v>
      </c>
      <c r="K33" s="11">
        <v>27</v>
      </c>
      <c r="L33" s="12">
        <v>28</v>
      </c>
      <c r="M33" s="12">
        <v>29</v>
      </c>
      <c r="N33" s="12">
        <v>30</v>
      </c>
      <c r="O33" s="12">
        <v>31</v>
      </c>
      <c r="P33" s="10"/>
      <c r="Q33" s="5"/>
      <c r="R33" s="180">
        <v>8</v>
      </c>
      <c r="S33" s="2" t="s">
        <v>65</v>
      </c>
      <c r="U33" s="2" t="s">
        <v>123</v>
      </c>
    </row>
    <row r="34" spans="1:31" x14ac:dyDescent="0.2">
      <c r="A34" s="1"/>
      <c r="B34" s="3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R34" s="180">
        <v>9</v>
      </c>
      <c r="S34" s="2" t="s">
        <v>87</v>
      </c>
      <c r="U34" s="2" t="s">
        <v>124</v>
      </c>
      <c r="Z34" s="2" t="s">
        <v>32</v>
      </c>
    </row>
    <row r="35" spans="1:31" x14ac:dyDescent="0.2">
      <c r="A35" s="1"/>
      <c r="B35" s="312" t="s">
        <v>13</v>
      </c>
      <c r="C35" s="312"/>
      <c r="D35" s="312"/>
      <c r="E35" s="312"/>
      <c r="F35" s="312"/>
      <c r="G35" s="312"/>
      <c r="H35" s="312"/>
      <c r="I35" s="4"/>
      <c r="J35" s="312" t="s">
        <v>14</v>
      </c>
      <c r="K35" s="312"/>
      <c r="L35" s="312"/>
      <c r="M35" s="312"/>
      <c r="N35" s="312"/>
      <c r="O35" s="312"/>
      <c r="P35" s="312"/>
      <c r="Q35" s="5"/>
      <c r="R35" s="180">
        <v>10</v>
      </c>
      <c r="S35" s="2" t="s">
        <v>125</v>
      </c>
      <c r="W35" s="77"/>
    </row>
    <row r="36" spans="1:31" x14ac:dyDescent="0.2">
      <c r="A36" s="1"/>
      <c r="B36" s="6" t="s">
        <v>2</v>
      </c>
      <c r="C36" s="6" t="s">
        <v>3</v>
      </c>
      <c r="D36" s="6" t="s">
        <v>4</v>
      </c>
      <c r="E36" s="6" t="s">
        <v>5</v>
      </c>
      <c r="F36" s="6" t="s">
        <v>4</v>
      </c>
      <c r="G36" s="6" t="s">
        <v>6</v>
      </c>
      <c r="H36" s="6" t="s">
        <v>2</v>
      </c>
      <c r="I36" s="4"/>
      <c r="J36" s="6" t="s">
        <v>2</v>
      </c>
      <c r="K36" s="6" t="s">
        <v>3</v>
      </c>
      <c r="L36" s="6" t="s">
        <v>4</v>
      </c>
      <c r="M36" s="6" t="s">
        <v>5</v>
      </c>
      <c r="N36" s="6" t="s">
        <v>4</v>
      </c>
      <c r="O36" s="6" t="s">
        <v>6</v>
      </c>
      <c r="P36" s="6" t="s">
        <v>2</v>
      </c>
      <c r="Q36" s="5"/>
      <c r="R36" s="180">
        <v>11</v>
      </c>
      <c r="S36" s="2" t="s">
        <v>88</v>
      </c>
      <c r="U36" s="66" t="s">
        <v>126</v>
      </c>
    </row>
    <row r="37" spans="1:31" x14ac:dyDescent="0.2">
      <c r="A37" s="1"/>
      <c r="B37" s="321"/>
      <c r="C37" s="314"/>
      <c r="D37" s="314"/>
      <c r="E37" s="314"/>
      <c r="F37" s="314"/>
      <c r="G37" s="314"/>
      <c r="H37" s="9">
        <v>1</v>
      </c>
      <c r="I37" s="4"/>
      <c r="J37" s="10"/>
      <c r="K37" s="11">
        <v>1</v>
      </c>
      <c r="L37" s="11">
        <v>2</v>
      </c>
      <c r="M37" s="11">
        <v>3</v>
      </c>
      <c r="N37" s="11">
        <v>4</v>
      </c>
      <c r="O37" s="11">
        <v>5</v>
      </c>
      <c r="P37" s="11">
        <v>6</v>
      </c>
      <c r="Q37" s="5"/>
      <c r="R37" s="180">
        <v>12</v>
      </c>
      <c r="S37" s="2" t="s">
        <v>89</v>
      </c>
      <c r="T37" s="1"/>
      <c r="U37" s="179" t="s">
        <v>127</v>
      </c>
      <c r="V37" s="5"/>
    </row>
    <row r="38" spans="1:31" x14ac:dyDescent="0.2">
      <c r="A38" s="1"/>
      <c r="B38" s="9">
        <v>2</v>
      </c>
      <c r="C38" s="11">
        <v>3</v>
      </c>
      <c r="D38" s="11">
        <v>4</v>
      </c>
      <c r="E38" s="11">
        <v>5</v>
      </c>
      <c r="F38" s="11">
        <v>6</v>
      </c>
      <c r="G38" s="11">
        <v>7</v>
      </c>
      <c r="H38" s="9">
        <v>8</v>
      </c>
      <c r="I38" s="4"/>
      <c r="J38" s="9">
        <v>7</v>
      </c>
      <c r="K38" s="11">
        <v>8</v>
      </c>
      <c r="L38" s="11">
        <v>9</v>
      </c>
      <c r="M38" s="11">
        <v>10</v>
      </c>
      <c r="N38" s="11">
        <v>11</v>
      </c>
      <c r="O38" s="11">
        <v>12</v>
      </c>
      <c r="P38" s="9">
        <v>13</v>
      </c>
      <c r="Q38" s="5"/>
      <c r="R38" s="180">
        <v>13</v>
      </c>
      <c r="S38" s="2" t="s">
        <v>66</v>
      </c>
      <c r="T38" s="78"/>
      <c r="U38" s="181" t="s">
        <v>128</v>
      </c>
      <c r="V38" s="66"/>
    </row>
    <row r="39" spans="1:31" ht="15" x14ac:dyDescent="0.25">
      <c r="A39" s="1"/>
      <c r="B39" s="9">
        <v>9</v>
      </c>
      <c r="C39" s="11">
        <v>10</v>
      </c>
      <c r="D39" s="11">
        <v>11</v>
      </c>
      <c r="E39" s="11">
        <v>12</v>
      </c>
      <c r="F39" s="11">
        <v>13</v>
      </c>
      <c r="G39" s="11">
        <v>14</v>
      </c>
      <c r="H39" s="9">
        <v>15</v>
      </c>
      <c r="I39" s="4"/>
      <c r="J39" s="9">
        <v>14</v>
      </c>
      <c r="K39" s="11">
        <v>15</v>
      </c>
      <c r="L39" s="11">
        <v>16</v>
      </c>
      <c r="M39" s="11">
        <v>17</v>
      </c>
      <c r="N39" s="11">
        <v>18</v>
      </c>
      <c r="O39" s="11">
        <v>19</v>
      </c>
      <c r="P39" s="9">
        <v>20</v>
      </c>
      <c r="Q39" s="5"/>
      <c r="R39" s="180">
        <v>14</v>
      </c>
      <c r="S39" s="2" t="s">
        <v>90</v>
      </c>
      <c r="T39" s="1"/>
      <c r="U39" s="305">
        <v>94885806</v>
      </c>
      <c r="V39" s="305"/>
      <c r="W39" s="5"/>
    </row>
    <row r="40" spans="1:31" x14ac:dyDescent="0.2">
      <c r="A40" s="1"/>
      <c r="B40" s="9">
        <v>16</v>
      </c>
      <c r="C40" s="11">
        <v>17</v>
      </c>
      <c r="D40" s="11">
        <v>18</v>
      </c>
      <c r="E40" s="11">
        <v>19</v>
      </c>
      <c r="F40" s="11">
        <v>20</v>
      </c>
      <c r="G40" s="11">
        <v>21</v>
      </c>
      <c r="H40" s="9">
        <v>22</v>
      </c>
      <c r="I40" s="4"/>
      <c r="J40" s="9">
        <v>21</v>
      </c>
      <c r="K40" s="11">
        <v>22</v>
      </c>
      <c r="L40" s="11">
        <v>23</v>
      </c>
      <c r="M40" s="11">
        <v>24</v>
      </c>
      <c r="N40" s="11">
        <v>25</v>
      </c>
      <c r="O40" s="11">
        <v>26</v>
      </c>
      <c r="P40" s="9">
        <v>27</v>
      </c>
      <c r="Q40" s="5"/>
      <c r="R40" s="180">
        <v>15</v>
      </c>
      <c r="S40" s="2" t="s">
        <v>91</v>
      </c>
      <c r="T40" s="78"/>
      <c r="U40" s="17" t="s">
        <v>129</v>
      </c>
      <c r="V40" s="182"/>
    </row>
    <row r="41" spans="1:31" x14ac:dyDescent="0.2">
      <c r="A41" s="1"/>
      <c r="B41" s="9">
        <v>23</v>
      </c>
      <c r="C41" s="11">
        <v>24</v>
      </c>
      <c r="D41" s="11">
        <v>25</v>
      </c>
      <c r="E41" s="11">
        <v>26</v>
      </c>
      <c r="F41" s="11">
        <v>27</v>
      </c>
      <c r="G41" s="11">
        <v>28</v>
      </c>
      <c r="H41" s="9">
        <v>29</v>
      </c>
      <c r="I41" s="4"/>
      <c r="J41" s="9">
        <v>28</v>
      </c>
      <c r="K41" s="11">
        <v>29</v>
      </c>
      <c r="L41" s="12">
        <v>30</v>
      </c>
      <c r="M41" s="12">
        <v>31</v>
      </c>
      <c r="N41" s="321"/>
      <c r="O41" s="314"/>
      <c r="P41" s="314"/>
      <c r="Q41" s="5"/>
      <c r="R41" s="180">
        <v>16</v>
      </c>
      <c r="S41" s="2" t="s">
        <v>92</v>
      </c>
      <c r="T41" s="78"/>
      <c r="U41" s="76" t="s">
        <v>130</v>
      </c>
    </row>
    <row r="42" spans="1:31" x14ac:dyDescent="0.2">
      <c r="A42" s="1"/>
      <c r="B42" s="9">
        <v>30</v>
      </c>
      <c r="C42" s="321"/>
      <c r="D42" s="314"/>
      <c r="E42" s="314"/>
      <c r="F42" s="314"/>
      <c r="G42" s="314"/>
      <c r="H42" s="314"/>
      <c r="I42" s="4"/>
      <c r="J42" s="18"/>
      <c r="K42" s="19"/>
      <c r="L42" s="18"/>
      <c r="M42" s="18"/>
      <c r="N42" s="18"/>
      <c r="O42" s="18"/>
      <c r="P42" s="18"/>
      <c r="R42" s="180">
        <v>17</v>
      </c>
      <c r="S42" s="2" t="s">
        <v>101</v>
      </c>
      <c r="U42" s="183" t="s">
        <v>131</v>
      </c>
    </row>
    <row r="43" spans="1:31" ht="6" customHeight="1" x14ac:dyDescent="0.2">
      <c r="A43" s="1"/>
      <c r="B43" s="3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R43" s="180"/>
      <c r="U43" s="79"/>
    </row>
    <row r="44" spans="1:31" x14ac:dyDescent="0.2">
      <c r="A44" s="1"/>
      <c r="B44" s="312" t="s">
        <v>15</v>
      </c>
      <c r="C44" s="312"/>
      <c r="D44" s="312"/>
      <c r="E44" s="312"/>
      <c r="F44" s="312"/>
      <c r="G44" s="312"/>
      <c r="H44" s="312"/>
      <c r="I44" s="4"/>
      <c r="J44" s="312" t="s">
        <v>16</v>
      </c>
      <c r="K44" s="312"/>
      <c r="L44" s="312"/>
      <c r="M44" s="312"/>
      <c r="N44" s="312"/>
      <c r="O44" s="312"/>
      <c r="P44" s="312"/>
      <c r="Q44" s="5"/>
    </row>
    <row r="45" spans="1:31" ht="16.5" thickBot="1" x14ac:dyDescent="0.3">
      <c r="A45" s="1"/>
      <c r="B45" s="6" t="s">
        <v>2</v>
      </c>
      <c r="C45" s="6" t="s">
        <v>3</v>
      </c>
      <c r="D45" s="6" t="s">
        <v>4</v>
      </c>
      <c r="E45" s="6" t="s">
        <v>5</v>
      </c>
      <c r="F45" s="6" t="s">
        <v>4</v>
      </c>
      <c r="G45" s="6" t="s">
        <v>6</v>
      </c>
      <c r="H45" s="6" t="s">
        <v>2</v>
      </c>
      <c r="I45" s="4"/>
      <c r="J45" s="6" t="s">
        <v>2</v>
      </c>
      <c r="K45" s="6" t="s">
        <v>3</v>
      </c>
      <c r="L45" s="6" t="s">
        <v>4</v>
      </c>
      <c r="M45" s="6" t="s">
        <v>5</v>
      </c>
      <c r="N45" s="6" t="s">
        <v>4</v>
      </c>
      <c r="O45" s="6" t="s">
        <v>6</v>
      </c>
      <c r="P45" s="6" t="s">
        <v>2</v>
      </c>
      <c r="Q45" s="5"/>
      <c r="S45" s="243" t="s">
        <v>175</v>
      </c>
      <c r="T45" s="66"/>
      <c r="U45" s="66"/>
      <c r="V45" s="66"/>
      <c r="W45" s="66"/>
      <c r="X45" s="66"/>
      <c r="Y45" s="66"/>
      <c r="Z45" s="66"/>
      <c r="AA45" s="66"/>
      <c r="AB45" s="66"/>
      <c r="AC45" s="66"/>
      <c r="AD45" s="244"/>
    </row>
    <row r="46" spans="1:31" ht="25.5" x14ac:dyDescent="0.2">
      <c r="A46" s="1"/>
      <c r="B46" s="321"/>
      <c r="C46" s="314"/>
      <c r="D46" s="314"/>
      <c r="E46" s="314"/>
      <c r="F46" s="11">
        <v>1</v>
      </c>
      <c r="G46" s="8">
        <v>2</v>
      </c>
      <c r="H46" s="9">
        <v>3</v>
      </c>
      <c r="I46" s="4"/>
      <c r="J46" s="321"/>
      <c r="K46" s="314"/>
      <c r="L46" s="314"/>
      <c r="M46" s="314"/>
      <c r="N46" s="314"/>
      <c r="O46" s="314"/>
      <c r="P46" s="11">
        <v>1</v>
      </c>
      <c r="Q46" s="5"/>
      <c r="S46" s="245" t="s">
        <v>43</v>
      </c>
      <c r="T46" s="246" t="s">
        <v>107</v>
      </c>
      <c r="U46" s="247" t="s">
        <v>108</v>
      </c>
      <c r="V46" s="247" t="s">
        <v>109</v>
      </c>
      <c r="W46" s="248" t="s">
        <v>111</v>
      </c>
      <c r="X46" s="246"/>
      <c r="Y46" s="246"/>
      <c r="Z46" s="249" t="s">
        <v>110</v>
      </c>
      <c r="AA46" s="249" t="s">
        <v>176</v>
      </c>
      <c r="AB46" s="250" t="s">
        <v>113</v>
      </c>
      <c r="AC46" s="251" t="s">
        <v>153</v>
      </c>
      <c r="AD46" s="252" t="s">
        <v>112</v>
      </c>
      <c r="AE46" s="249" t="s">
        <v>114</v>
      </c>
    </row>
    <row r="47" spans="1:31" x14ac:dyDescent="0.2">
      <c r="A47" s="1"/>
      <c r="B47" s="9">
        <v>4</v>
      </c>
      <c r="C47" s="11">
        <v>5</v>
      </c>
      <c r="D47" s="11">
        <v>6</v>
      </c>
      <c r="E47" s="11">
        <v>7</v>
      </c>
      <c r="F47" s="11">
        <v>8</v>
      </c>
      <c r="G47" s="11">
        <v>9</v>
      </c>
      <c r="H47" s="9">
        <v>10</v>
      </c>
      <c r="I47" s="4"/>
      <c r="J47" s="9">
        <v>2</v>
      </c>
      <c r="K47" s="11">
        <v>3</v>
      </c>
      <c r="L47" s="11">
        <v>4</v>
      </c>
      <c r="M47" s="11">
        <v>5</v>
      </c>
      <c r="N47" s="11">
        <v>6</v>
      </c>
      <c r="O47" s="11">
        <v>7</v>
      </c>
      <c r="P47" s="9">
        <v>8</v>
      </c>
      <c r="Q47" s="5"/>
      <c r="S47" s="253"/>
      <c r="T47" s="253"/>
      <c r="U47" s="253"/>
      <c r="V47" s="253"/>
      <c r="W47" s="253"/>
      <c r="X47" s="253"/>
      <c r="Y47" s="253"/>
      <c r="Z47" s="253"/>
      <c r="AA47" s="253"/>
      <c r="AB47" s="253"/>
      <c r="AC47" s="253"/>
      <c r="AD47" s="253"/>
      <c r="AE47" s="253"/>
    </row>
    <row r="48" spans="1:31" x14ac:dyDescent="0.2">
      <c r="A48" s="1"/>
      <c r="B48" s="9">
        <v>11</v>
      </c>
      <c r="C48" s="11">
        <v>12</v>
      </c>
      <c r="D48" s="11">
        <v>13</v>
      </c>
      <c r="E48" s="11">
        <v>14</v>
      </c>
      <c r="F48" s="11">
        <v>15</v>
      </c>
      <c r="G48" s="11">
        <v>16</v>
      </c>
      <c r="H48" s="9">
        <v>17</v>
      </c>
      <c r="I48" s="4"/>
      <c r="J48" s="9">
        <v>9</v>
      </c>
      <c r="K48" s="11">
        <v>10</v>
      </c>
      <c r="L48" s="11">
        <v>11</v>
      </c>
      <c r="M48" s="11">
        <v>12</v>
      </c>
      <c r="N48" s="11">
        <v>13</v>
      </c>
      <c r="O48" s="11">
        <v>14</v>
      </c>
      <c r="P48" s="9">
        <v>15</v>
      </c>
      <c r="Q48" s="5"/>
      <c r="S48" s="253"/>
      <c r="T48" s="253"/>
      <c r="U48" s="253"/>
      <c r="V48" s="253"/>
      <c r="W48" s="253"/>
      <c r="X48" s="253"/>
      <c r="Y48" s="253"/>
      <c r="Z48" s="253"/>
      <c r="AA48" s="253"/>
      <c r="AB48" s="253"/>
      <c r="AC48" s="253"/>
      <c r="AD48" s="253"/>
      <c r="AE48" s="253"/>
    </row>
    <row r="49" spans="1:32" x14ac:dyDescent="0.2">
      <c r="A49" s="1"/>
      <c r="B49" s="9">
        <v>18</v>
      </c>
      <c r="C49" s="11">
        <v>19</v>
      </c>
      <c r="D49" s="11">
        <v>20</v>
      </c>
      <c r="E49" s="11">
        <v>21</v>
      </c>
      <c r="F49" s="11">
        <v>22</v>
      </c>
      <c r="G49" s="11">
        <v>23</v>
      </c>
      <c r="H49" s="9">
        <v>24</v>
      </c>
      <c r="I49" s="4"/>
      <c r="J49" s="9">
        <v>16</v>
      </c>
      <c r="K49" s="11">
        <v>17</v>
      </c>
      <c r="L49" s="11">
        <v>18</v>
      </c>
      <c r="M49" s="11">
        <v>19</v>
      </c>
      <c r="N49" s="11">
        <v>20</v>
      </c>
      <c r="O49" s="11">
        <v>21</v>
      </c>
      <c r="P49" s="9">
        <v>22</v>
      </c>
      <c r="Q49" s="5"/>
      <c r="S49" s="254"/>
      <c r="T49" s="254"/>
      <c r="U49" s="254"/>
      <c r="V49" s="254"/>
      <c r="W49" s="254"/>
      <c r="X49" s="254"/>
      <c r="Y49" s="254"/>
      <c r="Z49" s="254"/>
      <c r="AA49" s="254"/>
      <c r="AB49" s="255"/>
      <c r="AC49" s="254"/>
      <c r="AD49" s="254"/>
      <c r="AE49" s="254"/>
    </row>
    <row r="50" spans="1:32" x14ac:dyDescent="0.2">
      <c r="A50" s="1"/>
      <c r="B50" s="9">
        <v>25</v>
      </c>
      <c r="C50" s="11">
        <v>26</v>
      </c>
      <c r="D50" s="11">
        <v>27</v>
      </c>
      <c r="E50" s="11">
        <v>28</v>
      </c>
      <c r="F50" s="11">
        <v>29</v>
      </c>
      <c r="G50" s="11">
        <v>30</v>
      </c>
      <c r="H50" s="10"/>
      <c r="I50" s="4"/>
      <c r="J50" s="9">
        <v>23</v>
      </c>
      <c r="K50" s="11">
        <v>24</v>
      </c>
      <c r="L50" s="12">
        <v>25</v>
      </c>
      <c r="M50" s="12">
        <v>26</v>
      </c>
      <c r="N50" s="12">
        <v>27</v>
      </c>
      <c r="O50" s="12">
        <v>28</v>
      </c>
      <c r="P50" s="12">
        <v>29</v>
      </c>
      <c r="Q50" s="5"/>
      <c r="S50" s="253"/>
      <c r="T50" s="253"/>
      <c r="U50" s="253"/>
      <c r="V50" s="253"/>
      <c r="W50" s="253"/>
      <c r="X50" s="253"/>
      <c r="Y50" s="253"/>
      <c r="Z50" s="253"/>
      <c r="AA50" s="253"/>
      <c r="AB50" s="253"/>
      <c r="AC50" s="253"/>
      <c r="AD50" s="253"/>
      <c r="AE50" s="253"/>
    </row>
    <row r="51" spans="1:32" x14ac:dyDescent="0.2">
      <c r="B51" s="20"/>
      <c r="C51" s="20"/>
      <c r="D51" s="20"/>
      <c r="E51" s="20"/>
      <c r="F51" s="20"/>
      <c r="G51" s="20"/>
      <c r="H51" s="20"/>
      <c r="I51" s="21"/>
      <c r="J51" s="9">
        <v>30</v>
      </c>
      <c r="K51" s="11">
        <v>31</v>
      </c>
      <c r="L51" s="321"/>
      <c r="M51" s="314"/>
      <c r="N51" s="314"/>
      <c r="O51" s="314"/>
      <c r="P51" s="314"/>
      <c r="Q51" s="5"/>
      <c r="S51" s="256"/>
      <c r="T51" s="256"/>
      <c r="U51" s="253"/>
      <c r="V51" s="256"/>
      <c r="W51" s="256"/>
      <c r="X51" s="256"/>
      <c r="Y51" s="256"/>
      <c r="Z51" s="256"/>
      <c r="AA51" s="253"/>
      <c r="AB51" s="253"/>
      <c r="AC51" s="253"/>
      <c r="AD51" s="253"/>
      <c r="AE51" s="253"/>
    </row>
    <row r="52" spans="1:32" x14ac:dyDescent="0.2">
      <c r="J52" s="17"/>
      <c r="K52" s="17"/>
      <c r="L52" s="17"/>
      <c r="M52" s="17"/>
      <c r="N52" s="17"/>
      <c r="O52" s="17"/>
      <c r="P52" s="17"/>
      <c r="R52" s="66"/>
      <c r="S52" s="253"/>
      <c r="T52" s="256"/>
      <c r="U52" s="253"/>
      <c r="V52" s="253"/>
      <c r="W52" s="253"/>
      <c r="X52" s="253"/>
      <c r="Y52" s="253"/>
      <c r="Z52" s="253"/>
      <c r="AA52" s="253"/>
      <c r="AB52" s="253"/>
      <c r="AC52" s="253"/>
      <c r="AD52" s="253"/>
      <c r="AE52" s="253"/>
      <c r="AF52" s="66"/>
    </row>
    <row r="53" spans="1:32" x14ac:dyDescent="0.2">
      <c r="R53" s="71"/>
      <c r="S53" s="72"/>
      <c r="T53" s="71"/>
      <c r="U53" s="72"/>
      <c r="V53" s="71"/>
      <c r="W53" s="71"/>
      <c r="X53" s="71"/>
      <c r="Y53" s="71"/>
      <c r="Z53" s="71"/>
      <c r="AA53" s="72"/>
      <c r="AB53" s="72"/>
      <c r="AC53" s="72"/>
      <c r="AD53" s="72"/>
      <c r="AE53" s="72"/>
      <c r="AF53" s="71"/>
    </row>
  </sheetData>
  <mergeCells count="38">
    <mergeCell ref="S21:V21"/>
    <mergeCell ref="Z21:AA21"/>
    <mergeCell ref="U39:V39"/>
    <mergeCell ref="X5:Y5"/>
    <mergeCell ref="X6:Y6"/>
    <mergeCell ref="X7:Y7"/>
    <mergeCell ref="X8:Y8"/>
    <mergeCell ref="S16:S17"/>
    <mergeCell ref="T16:U17"/>
    <mergeCell ref="B44:H44"/>
    <mergeCell ref="J44:P44"/>
    <mergeCell ref="B46:E46"/>
    <mergeCell ref="J46:O46"/>
    <mergeCell ref="L51:P51"/>
    <mergeCell ref="B11:H11"/>
    <mergeCell ref="J11:P11"/>
    <mergeCell ref="B13:E13"/>
    <mergeCell ref="L17:P17"/>
    <mergeCell ref="B19:H19"/>
    <mergeCell ref="J19:P19"/>
    <mergeCell ref="N41:P41"/>
    <mergeCell ref="C42:H42"/>
    <mergeCell ref="B21:C21"/>
    <mergeCell ref="J21:N21"/>
    <mergeCell ref="G25:H25"/>
    <mergeCell ref="B27:H27"/>
    <mergeCell ref="J27:P27"/>
    <mergeCell ref="J29:L29"/>
    <mergeCell ref="E33:H33"/>
    <mergeCell ref="B35:H35"/>
    <mergeCell ref="J35:P35"/>
    <mergeCell ref="B37:G37"/>
    <mergeCell ref="B1:P1"/>
    <mergeCell ref="B3:H3"/>
    <mergeCell ref="J3:P3"/>
    <mergeCell ref="N9:P9"/>
    <mergeCell ref="J5:M5"/>
    <mergeCell ref="F9:H9"/>
  </mergeCells>
  <hyperlinks>
    <hyperlink ref="U42" r:id="rId1"/>
    <hyperlink ref="S5" r:id="rId2"/>
    <hyperlink ref="S6" r:id="rId3"/>
    <hyperlink ref="S8" r:id="rId4"/>
    <hyperlink ref="S9" r:id="rId5"/>
  </hyperlinks>
  <printOptions horizontalCentered="1"/>
  <pageMargins left="0.75" right="0.75" top="0.75" bottom="0.5" header="0.5" footer="0.5"/>
  <pageSetup orientation="portrait" horizontalDpi="300" verticalDpi="300" r:id="rId6"/>
  <headerFooter alignWithMargins="0"/>
  <drawing r:id="rId7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Q52"/>
  <sheetViews>
    <sheetView workbookViewId="0">
      <selection activeCell="B1" sqref="B1:P1"/>
    </sheetView>
  </sheetViews>
  <sheetFormatPr defaultColWidth="9.140625" defaultRowHeight="12.75" x14ac:dyDescent="0.2"/>
  <cols>
    <col min="1" max="1" width="1.28515625" style="2" customWidth="1"/>
    <col min="2" max="8" width="5.140625" style="2" customWidth="1"/>
    <col min="9" max="9" width="5.7109375" style="2" customWidth="1"/>
    <col min="10" max="16" width="5.140625" style="2" customWidth="1"/>
    <col min="17" max="17" width="1.28515625" style="2" customWidth="1"/>
    <col min="18" max="16384" width="9.140625" style="2"/>
  </cols>
  <sheetData>
    <row r="1" spans="1:17" ht="26.1" customHeight="1" x14ac:dyDescent="0.2">
      <c r="A1" s="22"/>
      <c r="B1" s="318">
        <v>2019</v>
      </c>
      <c r="C1" s="318"/>
      <c r="D1" s="318"/>
      <c r="E1" s="318"/>
      <c r="F1" s="318"/>
      <c r="G1" s="318"/>
      <c r="H1" s="318"/>
      <c r="I1" s="318"/>
      <c r="J1" s="318"/>
      <c r="K1" s="318"/>
      <c r="L1" s="318"/>
      <c r="M1" s="318"/>
      <c r="N1" s="318"/>
      <c r="O1" s="318"/>
      <c r="P1" s="319"/>
    </row>
    <row r="2" spans="1:17" ht="6" customHeight="1" x14ac:dyDescent="0.2">
      <c r="A2" s="1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</row>
    <row r="3" spans="1:17" x14ac:dyDescent="0.2">
      <c r="A3" s="1"/>
      <c r="B3" s="312" t="s">
        <v>0</v>
      </c>
      <c r="C3" s="312"/>
      <c r="D3" s="312"/>
      <c r="E3" s="312"/>
      <c r="F3" s="312"/>
      <c r="G3" s="312"/>
      <c r="H3" s="312"/>
      <c r="I3" s="4"/>
      <c r="J3" s="312" t="s">
        <v>1</v>
      </c>
      <c r="K3" s="312"/>
      <c r="L3" s="312"/>
      <c r="M3" s="312"/>
      <c r="N3" s="312"/>
      <c r="O3" s="312"/>
      <c r="P3" s="312"/>
      <c r="Q3" s="5"/>
    </row>
    <row r="4" spans="1:17" x14ac:dyDescent="0.2">
      <c r="A4" s="1"/>
      <c r="B4" s="6" t="s">
        <v>2</v>
      </c>
      <c r="C4" s="6" t="s">
        <v>3</v>
      </c>
      <c r="D4" s="6" t="s">
        <v>4</v>
      </c>
      <c r="E4" s="6" t="s">
        <v>5</v>
      </c>
      <c r="F4" s="6" t="s">
        <v>4</v>
      </c>
      <c r="G4" s="6" t="s">
        <v>6</v>
      </c>
      <c r="H4" s="6" t="s">
        <v>2</v>
      </c>
      <c r="I4" s="7"/>
      <c r="J4" s="6" t="s">
        <v>2</v>
      </c>
      <c r="K4" s="6" t="s">
        <v>3</v>
      </c>
      <c r="L4" s="6" t="s">
        <v>4</v>
      </c>
      <c r="M4" s="6" t="s">
        <v>5</v>
      </c>
      <c r="N4" s="6" t="s">
        <v>4</v>
      </c>
      <c r="O4" s="6" t="s">
        <v>6</v>
      </c>
      <c r="P4" s="6" t="s">
        <v>2</v>
      </c>
      <c r="Q4" s="5"/>
    </row>
    <row r="5" spans="1:17" x14ac:dyDescent="0.2">
      <c r="A5" s="1"/>
      <c r="B5" s="321"/>
      <c r="C5" s="314"/>
      <c r="D5" s="11">
        <v>1</v>
      </c>
      <c r="E5" s="11">
        <v>2</v>
      </c>
      <c r="F5" s="11">
        <v>3</v>
      </c>
      <c r="G5" s="8">
        <v>4</v>
      </c>
      <c r="H5" s="9">
        <v>5</v>
      </c>
      <c r="I5" s="7"/>
      <c r="J5" s="321"/>
      <c r="K5" s="314"/>
      <c r="L5" s="314"/>
      <c r="M5" s="314"/>
      <c r="N5" s="314"/>
      <c r="O5" s="11">
        <v>1</v>
      </c>
      <c r="P5" s="11">
        <v>2</v>
      </c>
      <c r="Q5" s="5"/>
    </row>
    <row r="6" spans="1:17" x14ac:dyDescent="0.2">
      <c r="A6" s="1"/>
      <c r="B6" s="9">
        <v>6</v>
      </c>
      <c r="C6" s="11">
        <v>7</v>
      </c>
      <c r="D6" s="11">
        <v>8</v>
      </c>
      <c r="E6" s="11">
        <v>9</v>
      </c>
      <c r="F6" s="11">
        <v>10</v>
      </c>
      <c r="G6" s="11">
        <v>11</v>
      </c>
      <c r="H6" s="9">
        <v>12</v>
      </c>
      <c r="I6" s="7"/>
      <c r="J6" s="9">
        <v>3</v>
      </c>
      <c r="K6" s="11">
        <v>4</v>
      </c>
      <c r="L6" s="11">
        <v>5</v>
      </c>
      <c r="M6" s="11">
        <v>6</v>
      </c>
      <c r="N6" s="11">
        <v>7</v>
      </c>
      <c r="O6" s="11">
        <v>8</v>
      </c>
      <c r="P6" s="9">
        <v>9</v>
      </c>
      <c r="Q6" s="5"/>
    </row>
    <row r="7" spans="1:17" x14ac:dyDescent="0.2">
      <c r="A7" s="1"/>
      <c r="B7" s="9">
        <v>13</v>
      </c>
      <c r="C7" s="11">
        <v>14</v>
      </c>
      <c r="D7" s="11">
        <v>15</v>
      </c>
      <c r="E7" s="11">
        <v>16</v>
      </c>
      <c r="F7" s="11">
        <v>17</v>
      </c>
      <c r="G7" s="11">
        <v>18</v>
      </c>
      <c r="H7" s="9">
        <v>19</v>
      </c>
      <c r="I7" s="7"/>
      <c r="J7" s="9">
        <v>10</v>
      </c>
      <c r="K7" s="11">
        <v>11</v>
      </c>
      <c r="L7" s="11">
        <v>12</v>
      </c>
      <c r="M7" s="11">
        <v>13</v>
      </c>
      <c r="N7" s="11">
        <v>14</v>
      </c>
      <c r="O7" s="11">
        <v>15</v>
      </c>
      <c r="P7" s="9">
        <v>16</v>
      </c>
      <c r="Q7" s="5"/>
    </row>
    <row r="8" spans="1:17" x14ac:dyDescent="0.2">
      <c r="A8" s="1"/>
      <c r="B8" s="9">
        <v>20</v>
      </c>
      <c r="C8" s="11">
        <v>21</v>
      </c>
      <c r="D8" s="11">
        <v>22</v>
      </c>
      <c r="E8" s="11">
        <v>23</v>
      </c>
      <c r="F8" s="11">
        <v>24</v>
      </c>
      <c r="G8" s="11">
        <v>25</v>
      </c>
      <c r="H8" s="9">
        <v>26</v>
      </c>
      <c r="I8" s="7"/>
      <c r="J8" s="9">
        <v>17</v>
      </c>
      <c r="K8" s="11">
        <v>18</v>
      </c>
      <c r="L8" s="11">
        <v>19</v>
      </c>
      <c r="M8" s="11">
        <v>20</v>
      </c>
      <c r="N8" s="11">
        <v>21</v>
      </c>
      <c r="O8" s="11">
        <v>22</v>
      </c>
      <c r="P8" s="9">
        <v>23</v>
      </c>
      <c r="Q8" s="5"/>
    </row>
    <row r="9" spans="1:17" x14ac:dyDescent="0.2">
      <c r="A9" s="1"/>
      <c r="B9" s="11">
        <v>27</v>
      </c>
      <c r="C9" s="11">
        <v>28</v>
      </c>
      <c r="D9" s="11">
        <v>29</v>
      </c>
      <c r="E9" s="11">
        <v>30</v>
      </c>
      <c r="F9" s="11">
        <v>31</v>
      </c>
      <c r="G9" s="321"/>
      <c r="H9" s="314"/>
      <c r="I9" s="13"/>
      <c r="J9" s="12">
        <v>24</v>
      </c>
      <c r="K9" s="11">
        <v>25</v>
      </c>
      <c r="L9" s="11">
        <v>26</v>
      </c>
      <c r="M9" s="9">
        <v>27</v>
      </c>
      <c r="N9" s="11">
        <v>28</v>
      </c>
      <c r="O9" s="321"/>
      <c r="P9" s="314"/>
      <c r="Q9" s="5"/>
    </row>
    <row r="10" spans="1:17" ht="6" customHeight="1" x14ac:dyDescent="0.2">
      <c r="A10" s="1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  <c r="P10" s="3"/>
    </row>
    <row r="11" spans="1:17" x14ac:dyDescent="0.2">
      <c r="A11" s="1"/>
      <c r="B11" s="312" t="s">
        <v>7</v>
      </c>
      <c r="C11" s="312"/>
      <c r="D11" s="312"/>
      <c r="E11" s="312"/>
      <c r="F11" s="312"/>
      <c r="G11" s="312"/>
      <c r="H11" s="312"/>
      <c r="I11" s="4"/>
      <c r="J11" s="312" t="s">
        <v>8</v>
      </c>
      <c r="K11" s="312"/>
      <c r="L11" s="312"/>
      <c r="M11" s="312"/>
      <c r="N11" s="312"/>
      <c r="O11" s="312"/>
      <c r="P11" s="312"/>
      <c r="Q11" s="5"/>
    </row>
    <row r="12" spans="1:17" x14ac:dyDescent="0.2">
      <c r="A12" s="1"/>
      <c r="B12" s="6" t="s">
        <v>2</v>
      </c>
      <c r="C12" s="6" t="s">
        <v>3</v>
      </c>
      <c r="D12" s="6" t="s">
        <v>4</v>
      </c>
      <c r="E12" s="6" t="s">
        <v>5</v>
      </c>
      <c r="F12" s="6" t="s">
        <v>4</v>
      </c>
      <c r="G12" s="6" t="s">
        <v>6</v>
      </c>
      <c r="H12" s="6" t="s">
        <v>2</v>
      </c>
      <c r="I12" s="4"/>
      <c r="J12" s="6" t="s">
        <v>2</v>
      </c>
      <c r="K12" s="6" t="s">
        <v>3</v>
      </c>
      <c r="L12" s="6" t="s">
        <v>4</v>
      </c>
      <c r="M12" s="6" t="s">
        <v>5</v>
      </c>
      <c r="N12" s="6" t="s">
        <v>4</v>
      </c>
      <c r="O12" s="6" t="s">
        <v>6</v>
      </c>
      <c r="P12" s="6" t="s">
        <v>2</v>
      </c>
      <c r="Q12" s="5"/>
    </row>
    <row r="13" spans="1:17" x14ac:dyDescent="0.2">
      <c r="A13" s="1"/>
      <c r="B13" s="321"/>
      <c r="C13" s="314"/>
      <c r="D13" s="314"/>
      <c r="E13" s="314"/>
      <c r="F13" s="314"/>
      <c r="G13" s="8">
        <v>1</v>
      </c>
      <c r="H13" s="9">
        <v>2</v>
      </c>
      <c r="I13" s="4"/>
      <c r="J13" s="10"/>
      <c r="K13" s="11">
        <v>1</v>
      </c>
      <c r="L13" s="11">
        <v>2</v>
      </c>
      <c r="M13" s="11">
        <v>3</v>
      </c>
      <c r="N13" s="11">
        <v>4</v>
      </c>
      <c r="O13" s="11">
        <v>5</v>
      </c>
      <c r="P13" s="11">
        <v>6</v>
      </c>
      <c r="Q13" s="5"/>
    </row>
    <row r="14" spans="1:17" x14ac:dyDescent="0.2">
      <c r="A14" s="1"/>
      <c r="B14" s="9">
        <v>3</v>
      </c>
      <c r="C14" s="11">
        <v>4</v>
      </c>
      <c r="D14" s="11">
        <v>5</v>
      </c>
      <c r="E14" s="11">
        <v>6</v>
      </c>
      <c r="F14" s="11">
        <v>7</v>
      </c>
      <c r="G14" s="11">
        <v>8</v>
      </c>
      <c r="H14" s="9">
        <v>9</v>
      </c>
      <c r="I14" s="4"/>
      <c r="J14" s="9">
        <v>7</v>
      </c>
      <c r="K14" s="11">
        <v>8</v>
      </c>
      <c r="L14" s="11">
        <v>9</v>
      </c>
      <c r="M14" s="11">
        <v>10</v>
      </c>
      <c r="N14" s="11">
        <v>11</v>
      </c>
      <c r="O14" s="11">
        <v>12</v>
      </c>
      <c r="P14" s="9">
        <v>13</v>
      </c>
      <c r="Q14" s="5"/>
    </row>
    <row r="15" spans="1:17" x14ac:dyDescent="0.2">
      <c r="A15" s="1"/>
      <c r="B15" s="9">
        <v>10</v>
      </c>
      <c r="C15" s="11">
        <v>11</v>
      </c>
      <c r="D15" s="11">
        <v>12</v>
      </c>
      <c r="E15" s="11">
        <v>13</v>
      </c>
      <c r="F15" s="11">
        <v>14</v>
      </c>
      <c r="G15" s="11">
        <v>15</v>
      </c>
      <c r="H15" s="9">
        <v>16</v>
      </c>
      <c r="I15" s="4"/>
      <c r="J15" s="9">
        <v>14</v>
      </c>
      <c r="K15" s="11">
        <v>15</v>
      </c>
      <c r="L15" s="11">
        <v>16</v>
      </c>
      <c r="M15" s="11">
        <v>17</v>
      </c>
      <c r="N15" s="11">
        <v>18</v>
      </c>
      <c r="O15" s="11">
        <v>19</v>
      </c>
      <c r="P15" s="9">
        <v>20</v>
      </c>
      <c r="Q15" s="5"/>
    </row>
    <row r="16" spans="1:17" x14ac:dyDescent="0.2">
      <c r="A16" s="1"/>
      <c r="B16" s="9">
        <v>17</v>
      </c>
      <c r="C16" s="11">
        <v>18</v>
      </c>
      <c r="D16" s="11">
        <v>19</v>
      </c>
      <c r="E16" s="11">
        <v>20</v>
      </c>
      <c r="F16" s="11">
        <v>21</v>
      </c>
      <c r="G16" s="11">
        <v>22</v>
      </c>
      <c r="H16" s="9">
        <v>23</v>
      </c>
      <c r="I16" s="4"/>
      <c r="J16" s="9">
        <v>21</v>
      </c>
      <c r="K16" s="11">
        <v>22</v>
      </c>
      <c r="L16" s="11">
        <v>23</v>
      </c>
      <c r="M16" s="11">
        <v>24</v>
      </c>
      <c r="N16" s="11">
        <v>25</v>
      </c>
      <c r="O16" s="11">
        <v>26</v>
      </c>
      <c r="P16" s="9">
        <v>27</v>
      </c>
      <c r="Q16" s="5"/>
    </row>
    <row r="17" spans="1:17" x14ac:dyDescent="0.2">
      <c r="A17" s="1"/>
      <c r="B17" s="9">
        <v>24</v>
      </c>
      <c r="C17" s="11">
        <v>25</v>
      </c>
      <c r="D17" s="11">
        <v>26</v>
      </c>
      <c r="E17" s="11">
        <v>27</v>
      </c>
      <c r="F17" s="11">
        <v>28</v>
      </c>
      <c r="G17" s="11">
        <v>29</v>
      </c>
      <c r="H17" s="9">
        <v>30</v>
      </c>
      <c r="I17" s="4"/>
      <c r="J17" s="9">
        <v>28</v>
      </c>
      <c r="K17" s="11">
        <v>29</v>
      </c>
      <c r="L17" s="12">
        <v>30</v>
      </c>
      <c r="M17" s="321"/>
      <c r="N17" s="314"/>
      <c r="O17" s="314"/>
      <c r="P17" s="314"/>
      <c r="Q17" s="5"/>
    </row>
    <row r="18" spans="1:17" x14ac:dyDescent="0.2">
      <c r="A18" s="1"/>
      <c r="B18" s="9">
        <v>31</v>
      </c>
      <c r="C18" s="321"/>
      <c r="D18" s="314"/>
      <c r="E18" s="314"/>
      <c r="F18" s="314"/>
      <c r="G18" s="314"/>
      <c r="H18" s="314"/>
      <c r="I18" s="4"/>
      <c r="J18" s="16"/>
      <c r="K18" s="14"/>
      <c r="L18" s="15"/>
      <c r="M18" s="15"/>
      <c r="N18" s="15"/>
      <c r="O18" s="15"/>
      <c r="P18" s="15"/>
    </row>
    <row r="19" spans="1:17" ht="6" customHeight="1" x14ac:dyDescent="0.2">
      <c r="A19" s="1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</row>
    <row r="20" spans="1:17" x14ac:dyDescent="0.2">
      <c r="A20" s="1"/>
      <c r="B20" s="312" t="s">
        <v>9</v>
      </c>
      <c r="C20" s="312"/>
      <c r="D20" s="312"/>
      <c r="E20" s="312"/>
      <c r="F20" s="312"/>
      <c r="G20" s="312"/>
      <c r="H20" s="312"/>
      <c r="I20" s="4"/>
      <c r="J20" s="312" t="s">
        <v>10</v>
      </c>
      <c r="K20" s="312"/>
      <c r="L20" s="312"/>
      <c r="M20" s="312"/>
      <c r="N20" s="312"/>
      <c r="O20" s="312"/>
      <c r="P20" s="312"/>
      <c r="Q20" s="5"/>
    </row>
    <row r="21" spans="1:17" x14ac:dyDescent="0.2">
      <c r="A21" s="1"/>
      <c r="B21" s="6" t="s">
        <v>2</v>
      </c>
      <c r="C21" s="6" t="s">
        <v>3</v>
      </c>
      <c r="D21" s="6" t="s">
        <v>4</v>
      </c>
      <c r="E21" s="6" t="s">
        <v>5</v>
      </c>
      <c r="F21" s="6" t="s">
        <v>4</v>
      </c>
      <c r="G21" s="6" t="s">
        <v>6</v>
      </c>
      <c r="H21" s="6" t="s">
        <v>2</v>
      </c>
      <c r="I21" s="4"/>
      <c r="J21" s="6" t="s">
        <v>2</v>
      </c>
      <c r="K21" s="6" t="s">
        <v>3</v>
      </c>
      <c r="L21" s="6" t="s">
        <v>4</v>
      </c>
      <c r="M21" s="6" t="s">
        <v>5</v>
      </c>
      <c r="N21" s="6" t="s">
        <v>4</v>
      </c>
      <c r="O21" s="6" t="s">
        <v>6</v>
      </c>
      <c r="P21" s="6" t="s">
        <v>2</v>
      </c>
      <c r="Q21" s="5"/>
    </row>
    <row r="22" spans="1:17" x14ac:dyDescent="0.2">
      <c r="A22" s="1"/>
      <c r="B22" s="321"/>
      <c r="C22" s="314"/>
      <c r="D22" s="314"/>
      <c r="E22" s="11">
        <v>1</v>
      </c>
      <c r="F22" s="11">
        <v>2</v>
      </c>
      <c r="G22" s="11">
        <v>3</v>
      </c>
      <c r="H22" s="9">
        <v>4</v>
      </c>
      <c r="I22" s="4"/>
      <c r="J22" s="321"/>
      <c r="K22" s="314"/>
      <c r="L22" s="314"/>
      <c r="M22" s="314"/>
      <c r="N22" s="314"/>
      <c r="O22" s="314"/>
      <c r="P22" s="11">
        <v>1</v>
      </c>
      <c r="Q22" s="5"/>
    </row>
    <row r="23" spans="1:17" x14ac:dyDescent="0.2">
      <c r="A23" s="1"/>
      <c r="B23" s="9">
        <v>5</v>
      </c>
      <c r="C23" s="11">
        <v>6</v>
      </c>
      <c r="D23" s="11">
        <v>7</v>
      </c>
      <c r="E23" s="11">
        <v>8</v>
      </c>
      <c r="F23" s="11">
        <v>9</v>
      </c>
      <c r="G23" s="11">
        <v>10</v>
      </c>
      <c r="H23" s="9">
        <v>11</v>
      </c>
      <c r="I23" s="4"/>
      <c r="J23" s="9">
        <v>2</v>
      </c>
      <c r="K23" s="11">
        <v>3</v>
      </c>
      <c r="L23" s="11">
        <v>4</v>
      </c>
      <c r="M23" s="11">
        <v>5</v>
      </c>
      <c r="N23" s="11">
        <v>6</v>
      </c>
      <c r="O23" s="11">
        <v>7</v>
      </c>
      <c r="P23" s="9">
        <v>8</v>
      </c>
      <c r="Q23" s="5"/>
    </row>
    <row r="24" spans="1:17" x14ac:dyDescent="0.2">
      <c r="A24" s="1"/>
      <c r="B24" s="9">
        <v>12</v>
      </c>
      <c r="C24" s="11">
        <v>13</v>
      </c>
      <c r="D24" s="11">
        <v>14</v>
      </c>
      <c r="E24" s="11">
        <v>15</v>
      </c>
      <c r="F24" s="11">
        <v>16</v>
      </c>
      <c r="G24" s="11">
        <v>17</v>
      </c>
      <c r="H24" s="9">
        <v>18</v>
      </c>
      <c r="I24" s="4"/>
      <c r="J24" s="9">
        <v>9</v>
      </c>
      <c r="K24" s="11">
        <v>10</v>
      </c>
      <c r="L24" s="11">
        <v>11</v>
      </c>
      <c r="M24" s="11">
        <v>12</v>
      </c>
      <c r="N24" s="11">
        <v>13</v>
      </c>
      <c r="O24" s="11">
        <v>14</v>
      </c>
      <c r="P24" s="9">
        <v>15</v>
      </c>
      <c r="Q24" s="5"/>
    </row>
    <row r="25" spans="1:17" x14ac:dyDescent="0.2">
      <c r="A25" s="1"/>
      <c r="B25" s="9">
        <v>19</v>
      </c>
      <c r="C25" s="11">
        <v>20</v>
      </c>
      <c r="D25" s="11">
        <v>21</v>
      </c>
      <c r="E25" s="11">
        <v>22</v>
      </c>
      <c r="F25" s="11">
        <v>23</v>
      </c>
      <c r="G25" s="11">
        <v>24</v>
      </c>
      <c r="H25" s="9">
        <v>25</v>
      </c>
      <c r="I25" s="4"/>
      <c r="J25" s="9">
        <v>16</v>
      </c>
      <c r="K25" s="11">
        <v>17</v>
      </c>
      <c r="L25" s="11">
        <v>18</v>
      </c>
      <c r="M25" s="11">
        <v>19</v>
      </c>
      <c r="N25" s="11">
        <v>20</v>
      </c>
      <c r="O25" s="11">
        <v>21</v>
      </c>
      <c r="P25" s="9">
        <v>22</v>
      </c>
      <c r="Q25" s="5"/>
    </row>
    <row r="26" spans="1:17" x14ac:dyDescent="0.2">
      <c r="A26" s="1"/>
      <c r="B26" s="11">
        <v>26</v>
      </c>
      <c r="C26" s="11">
        <v>27</v>
      </c>
      <c r="D26" s="11">
        <v>28</v>
      </c>
      <c r="E26" s="11">
        <v>29</v>
      </c>
      <c r="F26" s="11">
        <v>30</v>
      </c>
      <c r="G26" s="11">
        <v>31</v>
      </c>
      <c r="H26" s="10"/>
      <c r="I26" s="4"/>
      <c r="J26" s="9">
        <v>23</v>
      </c>
      <c r="K26" s="11">
        <v>24</v>
      </c>
      <c r="L26" s="12">
        <v>25</v>
      </c>
      <c r="M26" s="12">
        <v>26</v>
      </c>
      <c r="N26" s="12">
        <v>27</v>
      </c>
      <c r="O26" s="12">
        <v>28</v>
      </c>
      <c r="P26" s="12">
        <v>29</v>
      </c>
      <c r="Q26" s="5"/>
    </row>
    <row r="27" spans="1:17" x14ac:dyDescent="0.2">
      <c r="A27" s="1"/>
      <c r="B27" s="14"/>
      <c r="C27" s="14"/>
      <c r="D27" s="14"/>
      <c r="E27" s="14"/>
      <c r="F27" s="14"/>
      <c r="G27" s="14"/>
      <c r="H27" s="16"/>
      <c r="I27" s="4"/>
      <c r="J27" s="9">
        <v>30</v>
      </c>
      <c r="K27" s="321"/>
      <c r="L27" s="314"/>
      <c r="M27" s="314"/>
      <c r="N27" s="314"/>
      <c r="O27" s="314"/>
      <c r="P27" s="314"/>
      <c r="Q27" s="5"/>
    </row>
    <row r="28" spans="1:17" ht="6" customHeight="1" x14ac:dyDescent="0.2">
      <c r="A28" s="1"/>
      <c r="B28" s="3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</row>
    <row r="29" spans="1:17" x14ac:dyDescent="0.2">
      <c r="A29" s="1"/>
      <c r="B29" s="312" t="s">
        <v>11</v>
      </c>
      <c r="C29" s="312"/>
      <c r="D29" s="312"/>
      <c r="E29" s="312"/>
      <c r="F29" s="312"/>
      <c r="G29" s="312"/>
      <c r="H29" s="312"/>
      <c r="I29" s="4"/>
      <c r="J29" s="312" t="s">
        <v>12</v>
      </c>
      <c r="K29" s="312"/>
      <c r="L29" s="312"/>
      <c r="M29" s="312"/>
      <c r="N29" s="312"/>
      <c r="O29" s="312"/>
      <c r="P29" s="312"/>
      <c r="Q29" s="5"/>
    </row>
    <row r="30" spans="1:17" x14ac:dyDescent="0.2">
      <c r="A30" s="1"/>
      <c r="B30" s="6" t="s">
        <v>2</v>
      </c>
      <c r="C30" s="6" t="s">
        <v>3</v>
      </c>
      <c r="D30" s="6" t="s">
        <v>4</v>
      </c>
      <c r="E30" s="6" t="s">
        <v>5</v>
      </c>
      <c r="F30" s="6" t="s">
        <v>4</v>
      </c>
      <c r="G30" s="6" t="s">
        <v>6</v>
      </c>
      <c r="H30" s="6" t="s">
        <v>2</v>
      </c>
      <c r="I30" s="4"/>
      <c r="J30" s="6" t="s">
        <v>2</v>
      </c>
      <c r="K30" s="6" t="s">
        <v>3</v>
      </c>
      <c r="L30" s="6" t="s">
        <v>4</v>
      </c>
      <c r="M30" s="6" t="s">
        <v>5</v>
      </c>
      <c r="N30" s="6" t="s">
        <v>4</v>
      </c>
      <c r="O30" s="6" t="s">
        <v>6</v>
      </c>
      <c r="P30" s="6" t="s">
        <v>2</v>
      </c>
      <c r="Q30" s="5"/>
    </row>
    <row r="31" spans="1:17" x14ac:dyDescent="0.2">
      <c r="A31" s="1"/>
      <c r="B31" s="10"/>
      <c r="C31" s="11">
        <v>1</v>
      </c>
      <c r="D31" s="11">
        <v>2</v>
      </c>
      <c r="E31" s="11">
        <v>3</v>
      </c>
      <c r="F31" s="11">
        <v>4</v>
      </c>
      <c r="G31" s="8">
        <v>5</v>
      </c>
      <c r="H31" s="9">
        <v>6</v>
      </c>
      <c r="I31" s="4"/>
      <c r="J31" s="321"/>
      <c r="K31" s="314"/>
      <c r="L31" s="314"/>
      <c r="M31" s="314"/>
      <c r="N31" s="11">
        <v>1</v>
      </c>
      <c r="O31" s="11">
        <v>2</v>
      </c>
      <c r="P31" s="11">
        <v>3</v>
      </c>
      <c r="Q31" s="5"/>
    </row>
    <row r="32" spans="1:17" x14ac:dyDescent="0.2">
      <c r="A32" s="1"/>
      <c r="B32" s="9">
        <v>7</v>
      </c>
      <c r="C32" s="11">
        <v>8</v>
      </c>
      <c r="D32" s="11">
        <v>9</v>
      </c>
      <c r="E32" s="11">
        <v>10</v>
      </c>
      <c r="F32" s="11">
        <v>11</v>
      </c>
      <c r="G32" s="11">
        <v>12</v>
      </c>
      <c r="H32" s="9">
        <v>13</v>
      </c>
      <c r="I32" s="4"/>
      <c r="J32" s="9">
        <v>4</v>
      </c>
      <c r="K32" s="11">
        <v>5</v>
      </c>
      <c r="L32" s="11">
        <v>6</v>
      </c>
      <c r="M32" s="11">
        <v>7</v>
      </c>
      <c r="N32" s="11">
        <v>8</v>
      </c>
      <c r="O32" s="11">
        <v>9</v>
      </c>
      <c r="P32" s="9">
        <v>10</v>
      </c>
      <c r="Q32" s="5"/>
    </row>
    <row r="33" spans="1:17" x14ac:dyDescent="0.2">
      <c r="A33" s="1"/>
      <c r="B33" s="9">
        <v>14</v>
      </c>
      <c r="C33" s="11">
        <v>15</v>
      </c>
      <c r="D33" s="11">
        <v>16</v>
      </c>
      <c r="E33" s="11">
        <v>17</v>
      </c>
      <c r="F33" s="11">
        <v>18</v>
      </c>
      <c r="G33" s="11">
        <v>19</v>
      </c>
      <c r="H33" s="9">
        <v>20</v>
      </c>
      <c r="I33" s="4"/>
      <c r="J33" s="9">
        <v>11</v>
      </c>
      <c r="K33" s="11">
        <v>12</v>
      </c>
      <c r="L33" s="11">
        <v>13</v>
      </c>
      <c r="M33" s="11">
        <v>14</v>
      </c>
      <c r="N33" s="11">
        <v>15</v>
      </c>
      <c r="O33" s="11">
        <v>16</v>
      </c>
      <c r="P33" s="9">
        <v>17</v>
      </c>
      <c r="Q33" s="5"/>
    </row>
    <row r="34" spans="1:17" x14ac:dyDescent="0.2">
      <c r="A34" s="1"/>
      <c r="B34" s="9">
        <v>21</v>
      </c>
      <c r="C34" s="11">
        <v>22</v>
      </c>
      <c r="D34" s="11">
        <v>23</v>
      </c>
      <c r="E34" s="11">
        <v>24</v>
      </c>
      <c r="F34" s="11">
        <v>25</v>
      </c>
      <c r="G34" s="11">
        <v>26</v>
      </c>
      <c r="H34" s="9">
        <v>27</v>
      </c>
      <c r="I34" s="4"/>
      <c r="J34" s="9">
        <v>18</v>
      </c>
      <c r="K34" s="11">
        <v>19</v>
      </c>
      <c r="L34" s="11">
        <v>20</v>
      </c>
      <c r="M34" s="11">
        <v>21</v>
      </c>
      <c r="N34" s="11">
        <v>22</v>
      </c>
      <c r="O34" s="11">
        <v>23</v>
      </c>
      <c r="P34" s="9">
        <v>24</v>
      </c>
      <c r="Q34" s="5"/>
    </row>
    <row r="35" spans="1:17" x14ac:dyDescent="0.2">
      <c r="A35" s="1"/>
      <c r="B35" s="9">
        <v>28</v>
      </c>
      <c r="C35" s="11">
        <v>29</v>
      </c>
      <c r="D35" s="11">
        <v>30</v>
      </c>
      <c r="E35" s="11">
        <v>31</v>
      </c>
      <c r="F35" s="321"/>
      <c r="G35" s="314"/>
      <c r="H35" s="314"/>
      <c r="I35" s="4"/>
      <c r="J35" s="9">
        <v>25</v>
      </c>
      <c r="K35" s="11">
        <v>26</v>
      </c>
      <c r="L35" s="12">
        <v>27</v>
      </c>
      <c r="M35" s="12">
        <v>28</v>
      </c>
      <c r="N35" s="12">
        <v>29</v>
      </c>
      <c r="O35" s="12">
        <v>30</v>
      </c>
      <c r="P35" s="12">
        <v>31</v>
      </c>
      <c r="Q35" s="5"/>
    </row>
    <row r="36" spans="1:17" ht="6" customHeight="1" x14ac:dyDescent="0.2">
      <c r="A36" s="1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</row>
    <row r="37" spans="1:17" x14ac:dyDescent="0.2">
      <c r="A37" s="1"/>
      <c r="B37" s="312" t="s">
        <v>13</v>
      </c>
      <c r="C37" s="312"/>
      <c r="D37" s="312"/>
      <c r="E37" s="312"/>
      <c r="F37" s="312"/>
      <c r="G37" s="312"/>
      <c r="H37" s="312"/>
      <c r="I37" s="4"/>
      <c r="J37" s="312" t="s">
        <v>14</v>
      </c>
      <c r="K37" s="312"/>
      <c r="L37" s="312"/>
      <c r="M37" s="312"/>
      <c r="N37" s="312"/>
      <c r="O37" s="312"/>
      <c r="P37" s="312"/>
      <c r="Q37" s="5"/>
    </row>
    <row r="38" spans="1:17" x14ac:dyDescent="0.2">
      <c r="A38" s="1"/>
      <c r="B38" s="6" t="s">
        <v>2</v>
      </c>
      <c r="C38" s="6" t="s">
        <v>3</v>
      </c>
      <c r="D38" s="6" t="s">
        <v>4</v>
      </c>
      <c r="E38" s="6" t="s">
        <v>5</v>
      </c>
      <c r="F38" s="6" t="s">
        <v>4</v>
      </c>
      <c r="G38" s="6" t="s">
        <v>6</v>
      </c>
      <c r="H38" s="6" t="s">
        <v>2</v>
      </c>
      <c r="I38" s="4"/>
      <c r="J38" s="6" t="s">
        <v>2</v>
      </c>
      <c r="K38" s="6" t="s">
        <v>3</v>
      </c>
      <c r="L38" s="6" t="s">
        <v>4</v>
      </c>
      <c r="M38" s="6" t="s">
        <v>5</v>
      </c>
      <c r="N38" s="6" t="s">
        <v>4</v>
      </c>
      <c r="O38" s="6" t="s">
        <v>6</v>
      </c>
      <c r="P38" s="6" t="s">
        <v>2</v>
      </c>
      <c r="Q38" s="5"/>
    </row>
    <row r="39" spans="1:17" x14ac:dyDescent="0.2">
      <c r="A39" s="1"/>
      <c r="B39" s="9">
        <v>1</v>
      </c>
      <c r="C39" s="11">
        <v>2</v>
      </c>
      <c r="D39" s="11">
        <v>3</v>
      </c>
      <c r="E39" s="11">
        <v>4</v>
      </c>
      <c r="F39" s="11">
        <v>5</v>
      </c>
      <c r="G39" s="8">
        <v>6</v>
      </c>
      <c r="H39" s="9">
        <v>7</v>
      </c>
      <c r="I39" s="4"/>
      <c r="J39" s="321"/>
      <c r="K39" s="314"/>
      <c r="L39" s="11">
        <v>1</v>
      </c>
      <c r="M39" s="11">
        <v>2</v>
      </c>
      <c r="N39" s="11">
        <v>3</v>
      </c>
      <c r="O39" s="11">
        <v>4</v>
      </c>
      <c r="P39" s="11">
        <v>5</v>
      </c>
      <c r="Q39" s="5"/>
    </row>
    <row r="40" spans="1:17" x14ac:dyDescent="0.2">
      <c r="A40" s="1"/>
      <c r="B40" s="9">
        <v>8</v>
      </c>
      <c r="C40" s="11">
        <v>9</v>
      </c>
      <c r="D40" s="11">
        <v>10</v>
      </c>
      <c r="E40" s="11">
        <v>11</v>
      </c>
      <c r="F40" s="11">
        <v>12</v>
      </c>
      <c r="G40" s="11">
        <v>13</v>
      </c>
      <c r="H40" s="9">
        <v>14</v>
      </c>
      <c r="I40" s="4"/>
      <c r="J40" s="9">
        <v>6</v>
      </c>
      <c r="K40" s="11">
        <v>7</v>
      </c>
      <c r="L40" s="11">
        <v>8</v>
      </c>
      <c r="M40" s="11">
        <v>9</v>
      </c>
      <c r="N40" s="11">
        <v>10</v>
      </c>
      <c r="O40" s="11">
        <v>11</v>
      </c>
      <c r="P40" s="9">
        <v>12</v>
      </c>
      <c r="Q40" s="5"/>
    </row>
    <row r="41" spans="1:17" x14ac:dyDescent="0.2">
      <c r="A41" s="1"/>
      <c r="B41" s="9">
        <v>15</v>
      </c>
      <c r="C41" s="11">
        <v>16</v>
      </c>
      <c r="D41" s="11">
        <v>17</v>
      </c>
      <c r="E41" s="11">
        <v>18</v>
      </c>
      <c r="F41" s="11">
        <v>19</v>
      </c>
      <c r="G41" s="11">
        <v>20</v>
      </c>
      <c r="H41" s="9">
        <v>21</v>
      </c>
      <c r="I41" s="4"/>
      <c r="J41" s="9">
        <v>13</v>
      </c>
      <c r="K41" s="11">
        <v>14</v>
      </c>
      <c r="L41" s="11">
        <v>15</v>
      </c>
      <c r="M41" s="11">
        <v>16</v>
      </c>
      <c r="N41" s="11">
        <v>17</v>
      </c>
      <c r="O41" s="11">
        <v>18</v>
      </c>
      <c r="P41" s="9">
        <v>19</v>
      </c>
      <c r="Q41" s="5"/>
    </row>
    <row r="42" spans="1:17" x14ac:dyDescent="0.2">
      <c r="A42" s="1"/>
      <c r="B42" s="9">
        <v>22</v>
      </c>
      <c r="C42" s="11">
        <v>23</v>
      </c>
      <c r="D42" s="11">
        <v>24</v>
      </c>
      <c r="E42" s="11">
        <v>25</v>
      </c>
      <c r="F42" s="11">
        <v>26</v>
      </c>
      <c r="G42" s="11">
        <v>27</v>
      </c>
      <c r="H42" s="9">
        <v>28</v>
      </c>
      <c r="I42" s="4"/>
      <c r="J42" s="9">
        <v>20</v>
      </c>
      <c r="K42" s="11">
        <v>21</v>
      </c>
      <c r="L42" s="11">
        <v>22</v>
      </c>
      <c r="M42" s="11">
        <v>23</v>
      </c>
      <c r="N42" s="11">
        <v>24</v>
      </c>
      <c r="O42" s="11">
        <v>25</v>
      </c>
      <c r="P42" s="9">
        <v>26</v>
      </c>
      <c r="Q42" s="5"/>
    </row>
    <row r="43" spans="1:17" x14ac:dyDescent="0.2">
      <c r="A43" s="1"/>
      <c r="B43" s="9">
        <v>29</v>
      </c>
      <c r="C43" s="11">
        <v>30</v>
      </c>
      <c r="D43" s="321"/>
      <c r="E43" s="314"/>
      <c r="F43" s="314"/>
      <c r="G43" s="314"/>
      <c r="H43" s="314"/>
      <c r="I43" s="4"/>
      <c r="J43" s="9">
        <v>27</v>
      </c>
      <c r="K43" s="11">
        <v>28</v>
      </c>
      <c r="L43" s="12">
        <v>29</v>
      </c>
      <c r="M43" s="12">
        <v>30</v>
      </c>
      <c r="N43" s="12">
        <v>31</v>
      </c>
      <c r="O43" s="321"/>
      <c r="P43" s="314"/>
      <c r="Q43" s="5"/>
    </row>
    <row r="44" spans="1:17" ht="6" customHeight="1" x14ac:dyDescent="0.2">
      <c r="A44" s="1"/>
      <c r="B44" s="3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</row>
    <row r="45" spans="1:17" x14ac:dyDescent="0.2">
      <c r="A45" s="1"/>
      <c r="B45" s="312" t="s">
        <v>15</v>
      </c>
      <c r="C45" s="312"/>
      <c r="D45" s="312"/>
      <c r="E45" s="312"/>
      <c r="F45" s="312"/>
      <c r="G45" s="312"/>
      <c r="H45" s="312"/>
      <c r="I45" s="4"/>
      <c r="J45" s="312" t="s">
        <v>16</v>
      </c>
      <c r="K45" s="312"/>
      <c r="L45" s="312"/>
      <c r="M45" s="312"/>
      <c r="N45" s="312"/>
      <c r="O45" s="312"/>
      <c r="P45" s="312"/>
      <c r="Q45" s="5"/>
    </row>
    <row r="46" spans="1:17" x14ac:dyDescent="0.2">
      <c r="A46" s="1"/>
      <c r="B46" s="6" t="s">
        <v>2</v>
      </c>
      <c r="C46" s="6" t="s">
        <v>3</v>
      </c>
      <c r="D46" s="6" t="s">
        <v>4</v>
      </c>
      <c r="E46" s="6" t="s">
        <v>5</v>
      </c>
      <c r="F46" s="6" t="s">
        <v>4</v>
      </c>
      <c r="G46" s="6" t="s">
        <v>6</v>
      </c>
      <c r="H46" s="6" t="s">
        <v>2</v>
      </c>
      <c r="I46" s="4"/>
      <c r="J46" s="6" t="s">
        <v>2</v>
      </c>
      <c r="K46" s="6" t="s">
        <v>3</v>
      </c>
      <c r="L46" s="6" t="s">
        <v>4</v>
      </c>
      <c r="M46" s="6" t="s">
        <v>5</v>
      </c>
      <c r="N46" s="6" t="s">
        <v>4</v>
      </c>
      <c r="O46" s="6" t="s">
        <v>6</v>
      </c>
      <c r="P46" s="6" t="s">
        <v>2</v>
      </c>
      <c r="Q46" s="5"/>
    </row>
    <row r="47" spans="1:17" x14ac:dyDescent="0.2">
      <c r="A47" s="1"/>
      <c r="B47" s="321"/>
      <c r="C47" s="314"/>
      <c r="D47" s="314"/>
      <c r="E47" s="314"/>
      <c r="F47" s="314"/>
      <c r="G47" s="8">
        <v>1</v>
      </c>
      <c r="H47" s="9">
        <v>2</v>
      </c>
      <c r="I47" s="4"/>
      <c r="J47" s="9">
        <v>1</v>
      </c>
      <c r="K47" s="11">
        <v>2</v>
      </c>
      <c r="L47" s="11">
        <v>3</v>
      </c>
      <c r="M47" s="11">
        <v>4</v>
      </c>
      <c r="N47" s="11">
        <v>5</v>
      </c>
      <c r="O47" s="11">
        <v>6</v>
      </c>
      <c r="P47" s="11">
        <v>7</v>
      </c>
      <c r="Q47" s="5"/>
    </row>
    <row r="48" spans="1:17" x14ac:dyDescent="0.2">
      <c r="A48" s="1"/>
      <c r="B48" s="9">
        <v>3</v>
      </c>
      <c r="C48" s="11">
        <v>4</v>
      </c>
      <c r="D48" s="11">
        <v>5</v>
      </c>
      <c r="E48" s="11">
        <v>6</v>
      </c>
      <c r="F48" s="11">
        <v>7</v>
      </c>
      <c r="G48" s="11">
        <v>8</v>
      </c>
      <c r="H48" s="9">
        <v>9</v>
      </c>
      <c r="I48" s="4"/>
      <c r="J48" s="9">
        <v>8</v>
      </c>
      <c r="K48" s="11">
        <v>9</v>
      </c>
      <c r="L48" s="11">
        <v>10</v>
      </c>
      <c r="M48" s="11">
        <v>11</v>
      </c>
      <c r="N48" s="11">
        <v>12</v>
      </c>
      <c r="O48" s="11">
        <v>13</v>
      </c>
      <c r="P48" s="9">
        <v>14</v>
      </c>
      <c r="Q48" s="5"/>
    </row>
    <row r="49" spans="1:17" x14ac:dyDescent="0.2">
      <c r="A49" s="1"/>
      <c r="B49" s="9">
        <v>10</v>
      </c>
      <c r="C49" s="11">
        <v>11</v>
      </c>
      <c r="D49" s="11">
        <v>12</v>
      </c>
      <c r="E49" s="11">
        <v>13</v>
      </c>
      <c r="F49" s="11">
        <v>14</v>
      </c>
      <c r="G49" s="11">
        <v>15</v>
      </c>
      <c r="H49" s="9">
        <v>16</v>
      </c>
      <c r="I49" s="4"/>
      <c r="J49" s="9">
        <v>15</v>
      </c>
      <c r="K49" s="11">
        <v>16</v>
      </c>
      <c r="L49" s="11">
        <v>17</v>
      </c>
      <c r="M49" s="11">
        <v>18</v>
      </c>
      <c r="N49" s="11">
        <v>19</v>
      </c>
      <c r="O49" s="11">
        <v>20</v>
      </c>
      <c r="P49" s="9">
        <v>21</v>
      </c>
      <c r="Q49" s="5"/>
    </row>
    <row r="50" spans="1:17" x14ac:dyDescent="0.2">
      <c r="A50" s="1"/>
      <c r="B50" s="9">
        <v>17</v>
      </c>
      <c r="C50" s="11">
        <v>18</v>
      </c>
      <c r="D50" s="11">
        <v>19</v>
      </c>
      <c r="E50" s="11">
        <v>20</v>
      </c>
      <c r="F50" s="11">
        <v>21</v>
      </c>
      <c r="G50" s="11">
        <v>22</v>
      </c>
      <c r="H50" s="9">
        <v>23</v>
      </c>
      <c r="I50" s="4"/>
      <c r="J50" s="9">
        <v>22</v>
      </c>
      <c r="K50" s="11">
        <v>23</v>
      </c>
      <c r="L50" s="11">
        <v>24</v>
      </c>
      <c r="M50" s="11">
        <v>25</v>
      </c>
      <c r="N50" s="11">
        <v>26</v>
      </c>
      <c r="O50" s="11">
        <v>27</v>
      </c>
      <c r="P50" s="9">
        <v>28</v>
      </c>
      <c r="Q50" s="5"/>
    </row>
    <row r="51" spans="1:17" x14ac:dyDescent="0.2">
      <c r="A51" s="1"/>
      <c r="B51" s="9">
        <v>24</v>
      </c>
      <c r="C51" s="11">
        <v>25</v>
      </c>
      <c r="D51" s="11">
        <v>26</v>
      </c>
      <c r="E51" s="11">
        <v>27</v>
      </c>
      <c r="F51" s="11">
        <v>28</v>
      </c>
      <c r="G51" s="11">
        <v>29</v>
      </c>
      <c r="H51" s="9">
        <v>30</v>
      </c>
      <c r="I51" s="4"/>
      <c r="J51" s="9">
        <v>29</v>
      </c>
      <c r="K51" s="11">
        <v>30</v>
      </c>
      <c r="L51" s="12">
        <v>31</v>
      </c>
      <c r="M51" s="321"/>
      <c r="N51" s="314"/>
      <c r="O51" s="314"/>
      <c r="P51" s="314"/>
      <c r="Q51" s="5"/>
    </row>
    <row r="52" spans="1:17" x14ac:dyDescent="0.2">
      <c r="B52" s="17"/>
      <c r="C52" s="17"/>
      <c r="D52" s="17"/>
      <c r="E52" s="17"/>
      <c r="F52" s="17"/>
      <c r="G52" s="17"/>
      <c r="H52" s="17"/>
      <c r="J52" s="17"/>
      <c r="K52" s="17"/>
      <c r="L52" s="17"/>
      <c r="M52" s="17"/>
      <c r="N52" s="17"/>
      <c r="O52" s="17"/>
      <c r="P52" s="17"/>
    </row>
  </sheetData>
  <mergeCells count="30">
    <mergeCell ref="B45:H45"/>
    <mergeCell ref="J45:P45"/>
    <mergeCell ref="B47:F47"/>
    <mergeCell ref="M51:P51"/>
    <mergeCell ref="F35:H35"/>
    <mergeCell ref="B37:H37"/>
    <mergeCell ref="J37:P37"/>
    <mergeCell ref="J39:K39"/>
    <mergeCell ref="D43:H43"/>
    <mergeCell ref="O43:P43"/>
    <mergeCell ref="J31:M31"/>
    <mergeCell ref="B11:H11"/>
    <mergeCell ref="J11:P11"/>
    <mergeCell ref="B13:F13"/>
    <mergeCell ref="M17:P17"/>
    <mergeCell ref="C18:H18"/>
    <mergeCell ref="B20:H20"/>
    <mergeCell ref="J20:P20"/>
    <mergeCell ref="B22:D22"/>
    <mergeCell ref="J22:O22"/>
    <mergeCell ref="K27:P27"/>
    <mergeCell ref="B29:H29"/>
    <mergeCell ref="J29:P29"/>
    <mergeCell ref="G9:H9"/>
    <mergeCell ref="O9:P9"/>
    <mergeCell ref="B1:P1"/>
    <mergeCell ref="B3:H3"/>
    <mergeCell ref="J3:P3"/>
    <mergeCell ref="B5:C5"/>
    <mergeCell ref="J5:N5"/>
  </mergeCells>
  <printOptions horizontalCentered="1"/>
  <pageMargins left="0.75" right="0.75" top="0.75" bottom="0.5" header="0.5" footer="0.5"/>
  <pageSetup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R62"/>
  <sheetViews>
    <sheetView workbookViewId="0">
      <selection activeCell="U16" sqref="U16"/>
    </sheetView>
  </sheetViews>
  <sheetFormatPr defaultColWidth="9.140625" defaultRowHeight="16.5" x14ac:dyDescent="0.3"/>
  <cols>
    <col min="1" max="1" width="4.42578125" style="81" customWidth="1"/>
    <col min="2" max="2" width="3.7109375" style="82" customWidth="1"/>
    <col min="3" max="3" width="14.28515625" style="81" customWidth="1"/>
    <col min="4" max="4" width="10.28515625" style="81" customWidth="1"/>
    <col min="5" max="6" width="9.28515625" style="81" bestFit="1" customWidth="1"/>
    <col min="7" max="7" width="9.7109375" style="81" bestFit="1" customWidth="1"/>
    <col min="8" max="9" width="9.28515625" style="81" bestFit="1" customWidth="1"/>
    <col min="10" max="10" width="9.42578125" style="81" bestFit="1" customWidth="1"/>
    <col min="11" max="11" width="15.140625" style="46" customWidth="1"/>
    <col min="12" max="16384" width="9.140625" style="81"/>
  </cols>
  <sheetData>
    <row r="1" spans="1:17" ht="17.25" thickBot="1" x14ac:dyDescent="0.35"/>
    <row r="2" spans="1:17" ht="17.25" thickBot="1" x14ac:dyDescent="0.35">
      <c r="D2" s="83" t="s">
        <v>25</v>
      </c>
      <c r="G2" s="84" t="s">
        <v>116</v>
      </c>
      <c r="H2" s="85"/>
      <c r="I2" s="86"/>
    </row>
    <row r="3" spans="1:17" x14ac:dyDescent="0.3">
      <c r="B3" s="82" t="s">
        <v>26</v>
      </c>
      <c r="D3" s="87" t="s">
        <v>27</v>
      </c>
      <c r="E3" s="87"/>
      <c r="F3" s="87"/>
    </row>
    <row r="4" spans="1:17" x14ac:dyDescent="0.3">
      <c r="B4" s="82" t="s">
        <v>28</v>
      </c>
      <c r="D4" s="87">
        <v>44</v>
      </c>
    </row>
    <row r="5" spans="1:17" x14ac:dyDescent="0.3">
      <c r="B5" s="82" t="s">
        <v>29</v>
      </c>
      <c r="D5" s="87" t="s">
        <v>30</v>
      </c>
    </row>
    <row r="6" spans="1:17" x14ac:dyDescent="0.3">
      <c r="B6" s="82" t="s">
        <v>31</v>
      </c>
      <c r="D6" s="87" t="s">
        <v>95</v>
      </c>
    </row>
    <row r="7" spans="1:17" x14ac:dyDescent="0.3">
      <c r="A7" s="81" t="s">
        <v>32</v>
      </c>
      <c r="B7" s="88" t="s">
        <v>33</v>
      </c>
      <c r="C7" s="89" t="s">
        <v>34</v>
      </c>
      <c r="D7" s="90" t="s">
        <v>35</v>
      </c>
      <c r="E7" s="90" t="s">
        <v>36</v>
      </c>
      <c r="F7" s="91" t="s">
        <v>37</v>
      </c>
      <c r="G7" s="90" t="s">
        <v>38</v>
      </c>
      <c r="H7" s="91" t="s">
        <v>39</v>
      </c>
      <c r="I7" s="90" t="s">
        <v>40</v>
      </c>
      <c r="J7" s="91" t="s">
        <v>41</v>
      </c>
      <c r="K7" s="47" t="s">
        <v>42</v>
      </c>
      <c r="P7" s="81" t="s">
        <v>185</v>
      </c>
      <c r="Q7" s="81">
        <v>5</v>
      </c>
    </row>
    <row r="8" spans="1:17" x14ac:dyDescent="0.3">
      <c r="B8" s="92" t="s">
        <v>43</v>
      </c>
      <c r="C8" s="93"/>
      <c r="D8" s="94" t="s">
        <v>34</v>
      </c>
      <c r="E8" s="94"/>
      <c r="F8" s="95"/>
      <c r="G8" s="94"/>
      <c r="H8" s="95"/>
      <c r="I8" s="94"/>
      <c r="J8" s="95" t="s">
        <v>44</v>
      </c>
      <c r="K8" s="48" t="s">
        <v>45</v>
      </c>
      <c r="P8" s="81" t="s">
        <v>186</v>
      </c>
      <c r="Q8" s="81">
        <v>31</v>
      </c>
    </row>
    <row r="9" spans="1:17" hidden="1" x14ac:dyDescent="0.3">
      <c r="B9" s="96"/>
      <c r="C9" s="97"/>
      <c r="D9" s="97"/>
      <c r="E9" s="97"/>
      <c r="F9" s="97"/>
      <c r="G9" s="97"/>
      <c r="H9" s="97"/>
      <c r="I9" s="97"/>
      <c r="J9" s="98"/>
      <c r="K9" s="49">
        <v>0.09</v>
      </c>
      <c r="P9" s="81" t="s">
        <v>187</v>
      </c>
    </row>
    <row r="10" spans="1:17" x14ac:dyDescent="0.3">
      <c r="B10" s="96"/>
      <c r="C10" s="97" t="s">
        <v>67</v>
      </c>
      <c r="D10" s="97"/>
      <c r="E10" s="97"/>
      <c r="F10" s="97"/>
      <c r="G10" s="97"/>
      <c r="H10" s="97"/>
      <c r="I10" s="97"/>
      <c r="J10" s="97"/>
      <c r="K10" s="99">
        <v>7.67</v>
      </c>
      <c r="P10" s="81" t="s">
        <v>187</v>
      </c>
      <c r="Q10" s="81">
        <v>29</v>
      </c>
    </row>
    <row r="11" spans="1:17" x14ac:dyDescent="0.3">
      <c r="B11" s="100"/>
      <c r="C11" s="101">
        <v>2014</v>
      </c>
      <c r="D11" s="97"/>
      <c r="E11" s="97"/>
      <c r="F11" s="97"/>
      <c r="G11" s="97"/>
      <c r="H11" s="97"/>
      <c r="I11" s="97"/>
      <c r="J11" s="97"/>
      <c r="K11" s="102"/>
      <c r="P11" s="81" t="s">
        <v>188</v>
      </c>
      <c r="Q11" s="81">
        <v>31</v>
      </c>
    </row>
    <row r="12" spans="1:17" x14ac:dyDescent="0.3">
      <c r="B12" s="100">
        <v>1</v>
      </c>
      <c r="C12" s="97" t="s">
        <v>49</v>
      </c>
      <c r="D12" s="100">
        <v>30</v>
      </c>
      <c r="E12" s="100">
        <v>6</v>
      </c>
      <c r="F12" s="100"/>
      <c r="G12" s="100"/>
      <c r="H12" s="100"/>
      <c r="I12" s="100"/>
      <c r="J12" s="100">
        <f>D12-E12-F12-G12-H12</f>
        <v>24</v>
      </c>
      <c r="K12" s="103">
        <f>J12*0.09</f>
        <v>2.16</v>
      </c>
      <c r="P12" s="81" t="s">
        <v>189</v>
      </c>
      <c r="Q12" s="81">
        <v>30</v>
      </c>
    </row>
    <row r="13" spans="1:17" x14ac:dyDescent="0.3">
      <c r="B13" s="100">
        <v>2</v>
      </c>
      <c r="C13" s="97" t="s">
        <v>68</v>
      </c>
      <c r="D13" s="100">
        <v>31</v>
      </c>
      <c r="E13" s="100"/>
      <c r="F13" s="100"/>
      <c r="G13" s="100"/>
      <c r="H13" s="100"/>
      <c r="I13" s="100"/>
      <c r="J13" s="100">
        <f t="shared" ref="J13:J29" si="0">D13-E13-F13-G13-H13</f>
        <v>31</v>
      </c>
      <c r="K13" s="103">
        <f t="shared" ref="K13:K30" si="1">J13*0.09</f>
        <v>2.79</v>
      </c>
      <c r="P13" s="81" t="s">
        <v>68</v>
      </c>
      <c r="Q13" s="81">
        <v>31</v>
      </c>
    </row>
    <row r="14" spans="1:17" x14ac:dyDescent="0.3">
      <c r="B14" s="100">
        <v>3</v>
      </c>
      <c r="C14" s="97" t="s">
        <v>69</v>
      </c>
      <c r="D14" s="100">
        <v>30</v>
      </c>
      <c r="E14" s="100"/>
      <c r="F14" s="100"/>
      <c r="G14" s="100"/>
      <c r="H14" s="100"/>
      <c r="I14" s="100"/>
      <c r="J14" s="100">
        <f t="shared" si="0"/>
        <v>30</v>
      </c>
      <c r="K14" s="103">
        <f t="shared" si="1"/>
        <v>2.6999999999999997</v>
      </c>
      <c r="P14" s="81" t="s">
        <v>190</v>
      </c>
      <c r="Q14" s="81">
        <v>30</v>
      </c>
    </row>
    <row r="15" spans="1:17" x14ac:dyDescent="0.3">
      <c r="B15" s="100">
        <v>4</v>
      </c>
      <c r="C15" s="97" t="s">
        <v>70</v>
      </c>
      <c r="D15" s="100">
        <v>31</v>
      </c>
      <c r="E15" s="100">
        <v>7</v>
      </c>
      <c r="F15" s="100"/>
      <c r="G15" s="100"/>
      <c r="H15" s="100"/>
      <c r="I15" s="100"/>
      <c r="J15" s="100">
        <f t="shared" si="0"/>
        <v>24</v>
      </c>
      <c r="K15" s="103">
        <f t="shared" si="1"/>
        <v>2.16</v>
      </c>
      <c r="P15" s="81" t="s">
        <v>191</v>
      </c>
      <c r="Q15" s="81">
        <v>31</v>
      </c>
    </row>
    <row r="16" spans="1:17" x14ac:dyDescent="0.3">
      <c r="B16" s="100">
        <v>5</v>
      </c>
      <c r="C16" s="97" t="s">
        <v>71</v>
      </c>
      <c r="D16" s="100">
        <v>31</v>
      </c>
      <c r="E16" s="100">
        <v>7</v>
      </c>
      <c r="F16" s="100"/>
      <c r="G16" s="100"/>
      <c r="H16" s="100"/>
      <c r="I16" s="100"/>
      <c r="J16" s="100">
        <f t="shared" si="0"/>
        <v>24</v>
      </c>
      <c r="K16" s="103">
        <f t="shared" si="1"/>
        <v>2.16</v>
      </c>
      <c r="P16" s="81" t="s">
        <v>192</v>
      </c>
      <c r="Q16" s="81">
        <v>31</v>
      </c>
    </row>
    <row r="17" spans="2:18" x14ac:dyDescent="0.3">
      <c r="B17" s="100">
        <v>6</v>
      </c>
      <c r="C17" s="97" t="s">
        <v>72</v>
      </c>
      <c r="D17" s="100">
        <v>30</v>
      </c>
      <c r="E17" s="100">
        <v>2.5</v>
      </c>
      <c r="F17" s="100"/>
      <c r="G17" s="100"/>
      <c r="H17" s="100"/>
      <c r="I17" s="100"/>
      <c r="J17" s="100">
        <f t="shared" si="0"/>
        <v>27.5</v>
      </c>
      <c r="K17" s="103">
        <f t="shared" si="1"/>
        <v>2.4750000000000001</v>
      </c>
      <c r="P17" s="81" t="s">
        <v>193</v>
      </c>
      <c r="Q17" s="81">
        <v>30</v>
      </c>
    </row>
    <row r="18" spans="2:18" x14ac:dyDescent="0.3">
      <c r="B18" s="100">
        <v>7</v>
      </c>
      <c r="C18" s="97" t="s">
        <v>73</v>
      </c>
      <c r="D18" s="100">
        <v>31</v>
      </c>
      <c r="E18" s="100"/>
      <c r="F18" s="100"/>
      <c r="G18" s="100"/>
      <c r="H18" s="100"/>
      <c r="I18" s="100"/>
      <c r="J18" s="100">
        <f t="shared" si="0"/>
        <v>31</v>
      </c>
      <c r="K18" s="103">
        <f t="shared" si="1"/>
        <v>2.79</v>
      </c>
      <c r="P18" s="81" t="s">
        <v>194</v>
      </c>
      <c r="Q18" s="81">
        <v>31</v>
      </c>
    </row>
    <row r="19" spans="2:18" x14ac:dyDescent="0.3">
      <c r="B19" s="100">
        <v>8</v>
      </c>
      <c r="C19" s="97" t="s">
        <v>74</v>
      </c>
      <c r="D19" s="100">
        <v>30</v>
      </c>
      <c r="E19" s="100">
        <v>1</v>
      </c>
      <c r="F19" s="100"/>
      <c r="G19" s="100"/>
      <c r="H19" s="100"/>
      <c r="I19" s="100"/>
      <c r="J19" s="100">
        <f t="shared" si="0"/>
        <v>29</v>
      </c>
      <c r="K19" s="103">
        <f t="shared" si="1"/>
        <v>2.61</v>
      </c>
      <c r="P19" s="81" t="s">
        <v>195</v>
      </c>
      <c r="Q19" s="81">
        <v>18</v>
      </c>
    </row>
    <row r="20" spans="2:18" x14ac:dyDescent="0.3">
      <c r="B20" s="100">
        <v>9</v>
      </c>
      <c r="C20" s="97" t="s">
        <v>75</v>
      </c>
      <c r="D20" s="100">
        <v>31</v>
      </c>
      <c r="E20" s="100"/>
      <c r="F20" s="100"/>
      <c r="G20" s="100"/>
      <c r="H20" s="100"/>
      <c r="I20" s="100"/>
      <c r="J20" s="100">
        <f t="shared" si="0"/>
        <v>31</v>
      </c>
      <c r="K20" s="103">
        <f t="shared" si="1"/>
        <v>2.79</v>
      </c>
      <c r="Q20" s="81">
        <f>SUM(Q7:Q19)</f>
        <v>328</v>
      </c>
      <c r="R20" s="81">
        <f>ROUND(Q20/365*30,2)</f>
        <v>26.96</v>
      </c>
    </row>
    <row r="21" spans="2:18" x14ac:dyDescent="0.3">
      <c r="B21" s="100"/>
      <c r="C21" s="101">
        <v>2015</v>
      </c>
      <c r="D21" s="100"/>
      <c r="E21" s="100"/>
      <c r="F21" s="100"/>
      <c r="G21" s="100"/>
      <c r="H21" s="100"/>
      <c r="I21" s="100"/>
      <c r="J21" s="100">
        <f t="shared" si="0"/>
        <v>0</v>
      </c>
      <c r="K21" s="103">
        <f t="shared" si="1"/>
        <v>0</v>
      </c>
    </row>
    <row r="22" spans="2:18" x14ac:dyDescent="0.3">
      <c r="B22" s="100">
        <v>10</v>
      </c>
      <c r="C22" s="104" t="s">
        <v>46</v>
      </c>
      <c r="D22" s="100">
        <v>31</v>
      </c>
      <c r="E22" s="100">
        <v>11</v>
      </c>
      <c r="F22" s="100"/>
      <c r="G22" s="100"/>
      <c r="H22" s="100"/>
      <c r="I22" s="100"/>
      <c r="J22" s="100">
        <f t="shared" si="0"/>
        <v>20</v>
      </c>
      <c r="K22" s="103">
        <f t="shared" si="1"/>
        <v>1.7999999999999998</v>
      </c>
      <c r="P22" s="81" t="s">
        <v>186</v>
      </c>
      <c r="Q22" s="81">
        <v>26</v>
      </c>
    </row>
    <row r="23" spans="2:18" x14ac:dyDescent="0.3">
      <c r="B23" s="100">
        <v>11</v>
      </c>
      <c r="C23" s="104" t="s">
        <v>47</v>
      </c>
      <c r="D23" s="100">
        <v>28</v>
      </c>
      <c r="E23" s="100"/>
      <c r="F23" s="100"/>
      <c r="G23" s="100"/>
      <c r="H23" s="100"/>
      <c r="I23" s="100"/>
      <c r="J23" s="100">
        <f t="shared" si="0"/>
        <v>28</v>
      </c>
      <c r="K23" s="103">
        <f t="shared" si="1"/>
        <v>2.52</v>
      </c>
      <c r="P23" s="81" t="s">
        <v>187</v>
      </c>
      <c r="Q23" s="81">
        <v>28</v>
      </c>
    </row>
    <row r="24" spans="2:18" x14ac:dyDescent="0.3">
      <c r="B24" s="100">
        <v>12</v>
      </c>
      <c r="C24" s="104" t="s">
        <v>48</v>
      </c>
      <c r="D24" s="100">
        <v>31</v>
      </c>
      <c r="E24" s="100"/>
      <c r="F24" s="100"/>
      <c r="G24" s="100"/>
      <c r="H24" s="100"/>
      <c r="I24" s="100"/>
      <c r="J24" s="100">
        <f t="shared" si="0"/>
        <v>31</v>
      </c>
      <c r="K24" s="103">
        <f t="shared" si="1"/>
        <v>2.79</v>
      </c>
      <c r="P24" s="81" t="s">
        <v>188</v>
      </c>
      <c r="Q24" s="81">
        <v>31</v>
      </c>
    </row>
    <row r="25" spans="2:18" x14ac:dyDescent="0.3">
      <c r="B25" s="100">
        <v>13</v>
      </c>
      <c r="C25" s="104" t="s">
        <v>49</v>
      </c>
      <c r="D25" s="100">
        <v>30</v>
      </c>
      <c r="E25" s="100"/>
      <c r="F25" s="100"/>
      <c r="G25" s="100"/>
      <c r="H25" s="100"/>
      <c r="I25" s="100"/>
      <c r="J25" s="100">
        <f t="shared" si="0"/>
        <v>30</v>
      </c>
      <c r="K25" s="103">
        <f t="shared" si="1"/>
        <v>2.6999999999999997</v>
      </c>
      <c r="P25" s="81" t="s">
        <v>189</v>
      </c>
      <c r="Q25" s="81">
        <v>30</v>
      </c>
    </row>
    <row r="26" spans="2:18" x14ac:dyDescent="0.3">
      <c r="B26" s="100">
        <v>14</v>
      </c>
      <c r="C26" s="104" t="s">
        <v>68</v>
      </c>
      <c r="D26" s="100">
        <v>31</v>
      </c>
      <c r="E26" s="100"/>
      <c r="F26" s="100"/>
      <c r="G26" s="100"/>
      <c r="H26" s="100"/>
      <c r="I26" s="100"/>
      <c r="J26" s="100">
        <f t="shared" si="0"/>
        <v>31</v>
      </c>
      <c r="K26" s="103">
        <f t="shared" si="1"/>
        <v>2.79</v>
      </c>
      <c r="P26" s="81" t="s">
        <v>68</v>
      </c>
      <c r="Q26" s="81">
        <v>31</v>
      </c>
    </row>
    <row r="27" spans="2:18" x14ac:dyDescent="0.3">
      <c r="B27" s="100">
        <v>15</v>
      </c>
      <c r="C27" s="104" t="s">
        <v>69</v>
      </c>
      <c r="D27" s="100">
        <v>30</v>
      </c>
      <c r="E27" s="100"/>
      <c r="F27" s="100"/>
      <c r="G27" s="100"/>
      <c r="H27" s="100"/>
      <c r="I27" s="100"/>
      <c r="J27" s="100">
        <f t="shared" si="0"/>
        <v>30</v>
      </c>
      <c r="K27" s="103">
        <f t="shared" si="1"/>
        <v>2.6999999999999997</v>
      </c>
      <c r="P27" s="81" t="s">
        <v>190</v>
      </c>
      <c r="Q27" s="81">
        <v>29</v>
      </c>
    </row>
    <row r="28" spans="2:18" x14ac:dyDescent="0.3">
      <c r="B28" s="100">
        <v>16</v>
      </c>
      <c r="C28" s="104" t="s">
        <v>70</v>
      </c>
      <c r="D28" s="100">
        <v>31</v>
      </c>
      <c r="E28" s="100"/>
      <c r="F28" s="100"/>
      <c r="G28" s="100"/>
      <c r="H28" s="100"/>
      <c r="I28" s="100"/>
      <c r="J28" s="100">
        <f t="shared" si="0"/>
        <v>31</v>
      </c>
      <c r="K28" s="103">
        <f t="shared" si="1"/>
        <v>2.79</v>
      </c>
      <c r="P28" s="81" t="s">
        <v>191</v>
      </c>
      <c r="Q28" s="81">
        <v>31</v>
      </c>
    </row>
    <row r="29" spans="2:18" x14ac:dyDescent="0.3">
      <c r="B29" s="100">
        <v>17</v>
      </c>
      <c r="C29" s="104" t="s">
        <v>71</v>
      </c>
      <c r="D29" s="100">
        <v>31</v>
      </c>
      <c r="E29" s="100">
        <v>14</v>
      </c>
      <c r="F29" s="100"/>
      <c r="G29" s="100"/>
      <c r="H29" s="100"/>
      <c r="I29" s="100"/>
      <c r="J29" s="100">
        <f t="shared" si="0"/>
        <v>17</v>
      </c>
      <c r="K29" s="103">
        <f t="shared" si="1"/>
        <v>1.53</v>
      </c>
      <c r="P29" s="81" t="s">
        <v>192</v>
      </c>
      <c r="Q29" s="81">
        <v>31</v>
      </c>
    </row>
    <row r="30" spans="2:18" x14ac:dyDescent="0.3">
      <c r="B30" s="100">
        <v>18</v>
      </c>
      <c r="C30" s="104" t="s">
        <v>72</v>
      </c>
      <c r="D30" s="153">
        <v>26</v>
      </c>
      <c r="E30" s="153"/>
      <c r="F30" s="153"/>
      <c r="G30" s="153"/>
      <c r="H30" s="153"/>
      <c r="I30" s="153"/>
      <c r="J30" s="153">
        <v>26</v>
      </c>
      <c r="K30" s="154">
        <f t="shared" si="1"/>
        <v>2.34</v>
      </c>
      <c r="P30" s="81" t="s">
        <v>193</v>
      </c>
      <c r="Q30" s="81">
        <v>30</v>
      </c>
    </row>
    <row r="31" spans="2:18" x14ac:dyDescent="0.3">
      <c r="B31" s="105" t="s">
        <v>50</v>
      </c>
      <c r="C31" s="106"/>
      <c r="D31" s="107">
        <f t="shared" ref="D31:K31" si="2">SUM(D10:D30)</f>
        <v>544</v>
      </c>
      <c r="E31" s="107">
        <f t="shared" si="2"/>
        <v>48.5</v>
      </c>
      <c r="F31" s="107">
        <f t="shared" si="2"/>
        <v>0</v>
      </c>
      <c r="G31" s="107">
        <f t="shared" si="2"/>
        <v>0</v>
      </c>
      <c r="H31" s="107">
        <f t="shared" si="2"/>
        <v>0</v>
      </c>
      <c r="I31" s="107">
        <f t="shared" si="2"/>
        <v>0</v>
      </c>
      <c r="J31" s="107">
        <f t="shared" si="2"/>
        <v>495.5</v>
      </c>
      <c r="K31" s="107">
        <f t="shared" si="2"/>
        <v>52.265000000000001</v>
      </c>
      <c r="P31" s="81" t="s">
        <v>194</v>
      </c>
      <c r="Q31" s="81">
        <v>31</v>
      </c>
    </row>
    <row r="32" spans="2:18" ht="17.25" thickBot="1" x14ac:dyDescent="0.35">
      <c r="B32" s="108"/>
      <c r="C32" s="109"/>
      <c r="D32" s="109"/>
      <c r="E32" s="109"/>
      <c r="F32" s="109"/>
      <c r="G32" s="109"/>
      <c r="H32" s="109"/>
      <c r="I32" s="109"/>
      <c r="J32" s="109"/>
      <c r="K32" s="50"/>
      <c r="M32" s="132"/>
      <c r="P32" s="81" t="s">
        <v>195</v>
      </c>
      <c r="Q32" s="81">
        <v>30</v>
      </c>
    </row>
    <row r="33" spans="2:18" ht="17.25" thickBot="1" x14ac:dyDescent="0.35">
      <c r="B33" s="340" t="s">
        <v>51</v>
      </c>
      <c r="C33" s="341"/>
      <c r="D33" s="341"/>
      <c r="E33" s="341"/>
      <c r="F33" s="341"/>
      <c r="G33" s="341"/>
      <c r="H33" s="341"/>
      <c r="I33" s="341"/>
      <c r="J33" s="341"/>
      <c r="K33" s="342"/>
      <c r="P33" s="81" t="s">
        <v>185</v>
      </c>
      <c r="Q33" s="81">
        <v>23</v>
      </c>
    </row>
    <row r="34" spans="2:18" x14ac:dyDescent="0.3">
      <c r="B34" s="110">
        <v>1</v>
      </c>
      <c r="C34" s="111" t="s">
        <v>52</v>
      </c>
      <c r="D34" s="111"/>
      <c r="E34" s="111"/>
      <c r="F34" s="111"/>
      <c r="G34" s="111"/>
      <c r="H34" s="111"/>
      <c r="I34" s="112"/>
      <c r="J34" s="113"/>
      <c r="K34" s="51">
        <f>+E31</f>
        <v>48.5</v>
      </c>
      <c r="L34" s="132"/>
      <c r="Q34" s="81">
        <f>SUM(Q22:Q33)</f>
        <v>351</v>
      </c>
      <c r="R34" s="81">
        <f>ROUND(Q34/365*30,2)</f>
        <v>28.85</v>
      </c>
    </row>
    <row r="35" spans="2:18" x14ac:dyDescent="0.3">
      <c r="B35" s="110">
        <v>2</v>
      </c>
      <c r="C35" s="111" t="s">
        <v>53</v>
      </c>
      <c r="D35" s="111"/>
      <c r="E35" s="111"/>
      <c r="F35" s="111"/>
      <c r="G35" s="111"/>
      <c r="H35" s="111"/>
      <c r="I35" s="112"/>
      <c r="J35" s="114"/>
      <c r="K35" s="52"/>
    </row>
    <row r="36" spans="2:18" x14ac:dyDescent="0.3">
      <c r="B36" s="110"/>
      <c r="C36" s="111" t="s">
        <v>76</v>
      </c>
      <c r="D36" s="111"/>
      <c r="E36" s="111"/>
      <c r="F36" s="111"/>
      <c r="G36" s="111"/>
      <c r="H36" s="111"/>
      <c r="I36" s="112"/>
      <c r="J36" s="113"/>
      <c r="K36" s="51"/>
      <c r="R36" s="81">
        <f>R20+R34</f>
        <v>55.81</v>
      </c>
    </row>
    <row r="37" spans="2:18" ht="17.25" thickBot="1" x14ac:dyDescent="0.35">
      <c r="B37" s="110" t="s">
        <v>54</v>
      </c>
      <c r="C37" s="111"/>
      <c r="D37" s="111"/>
      <c r="E37" s="111"/>
      <c r="F37" s="111"/>
      <c r="G37" s="111"/>
      <c r="H37" s="111"/>
      <c r="I37" s="112"/>
      <c r="J37" s="113"/>
      <c r="K37" s="53">
        <f>K31-E31+K36</f>
        <v>3.7650000000000006</v>
      </c>
      <c r="Q37" s="81" t="s">
        <v>196</v>
      </c>
      <c r="R37" s="81">
        <v>27</v>
      </c>
    </row>
    <row r="38" spans="2:18" ht="17.25" thickBot="1" x14ac:dyDescent="0.35">
      <c r="B38" s="115"/>
      <c r="C38" s="116"/>
      <c r="D38" s="116"/>
      <c r="E38" s="116"/>
      <c r="F38" s="116"/>
      <c r="G38" s="116"/>
      <c r="H38" s="116"/>
      <c r="I38" s="117"/>
      <c r="J38" s="118"/>
      <c r="K38" s="54"/>
      <c r="Q38" s="81" t="s">
        <v>197</v>
      </c>
      <c r="R38" s="81">
        <f>R36-R37</f>
        <v>28.810000000000002</v>
      </c>
    </row>
    <row r="39" spans="2:18" x14ac:dyDescent="0.3">
      <c r="B39" s="119" t="s">
        <v>55</v>
      </c>
      <c r="C39" s="120"/>
      <c r="D39" s="120"/>
      <c r="E39" s="121"/>
      <c r="F39" s="111"/>
      <c r="G39" s="111"/>
      <c r="H39" s="111"/>
      <c r="I39" s="111"/>
      <c r="J39" s="55"/>
      <c r="K39" s="122"/>
      <c r="Q39" s="81" t="s">
        <v>138</v>
      </c>
      <c r="R39" s="81">
        <v>3</v>
      </c>
    </row>
    <row r="40" spans="2:18" x14ac:dyDescent="0.3">
      <c r="B40" s="123">
        <v>1</v>
      </c>
      <c r="C40" s="111" t="s">
        <v>56</v>
      </c>
      <c r="D40" s="111"/>
      <c r="E40" s="56"/>
      <c r="F40" s="111"/>
      <c r="G40" s="111"/>
      <c r="H40" s="111"/>
      <c r="I40" s="111"/>
      <c r="J40" s="55"/>
      <c r="K40" s="122"/>
      <c r="Q40" s="81" t="s">
        <v>198</v>
      </c>
      <c r="R40" s="81">
        <f>R38+R39</f>
        <v>31.810000000000002</v>
      </c>
    </row>
    <row r="41" spans="2:18" x14ac:dyDescent="0.3">
      <c r="B41" s="110">
        <v>2</v>
      </c>
      <c r="C41" s="111" t="s">
        <v>57</v>
      </c>
      <c r="D41" s="111"/>
      <c r="E41" s="57">
        <v>0</v>
      </c>
      <c r="F41" s="111"/>
      <c r="G41" s="111"/>
      <c r="H41" s="111"/>
      <c r="I41" s="111"/>
      <c r="J41" s="55"/>
      <c r="K41" s="122"/>
    </row>
    <row r="42" spans="2:18" x14ac:dyDescent="0.3">
      <c r="B42" s="110">
        <v>3</v>
      </c>
      <c r="C42" s="111" t="s">
        <v>58</v>
      </c>
      <c r="D42" s="111"/>
      <c r="E42" s="57">
        <v>0</v>
      </c>
      <c r="F42" s="111"/>
      <c r="G42" s="111"/>
      <c r="H42" s="111"/>
      <c r="I42" s="111"/>
      <c r="J42" s="55"/>
      <c r="K42" s="122"/>
    </row>
    <row r="43" spans="2:18" x14ac:dyDescent="0.3">
      <c r="B43" s="110">
        <v>4</v>
      </c>
      <c r="C43" s="111" t="s">
        <v>40</v>
      </c>
      <c r="D43" s="111"/>
      <c r="E43" s="57">
        <v>0</v>
      </c>
      <c r="F43" s="111"/>
      <c r="G43" s="111"/>
      <c r="H43" s="111"/>
      <c r="I43" s="111"/>
      <c r="J43" s="55"/>
      <c r="K43" s="122"/>
    </row>
    <row r="44" spans="2:18" ht="17.25" thickBot="1" x14ac:dyDescent="0.35">
      <c r="B44" s="124" t="s">
        <v>59</v>
      </c>
      <c r="C44" s="125"/>
      <c r="D44" s="126"/>
      <c r="E44" s="58">
        <f>+E40+E41+E42+E43</f>
        <v>0</v>
      </c>
      <c r="F44" s="111"/>
      <c r="G44" s="111"/>
      <c r="H44" s="111"/>
      <c r="I44" s="111"/>
      <c r="J44" s="55"/>
      <c r="K44" s="122"/>
    </row>
    <row r="45" spans="2:18" ht="17.25" thickTop="1" x14ac:dyDescent="0.3">
      <c r="B45" s="127"/>
      <c r="C45" s="120"/>
      <c r="D45" s="120"/>
      <c r="E45" s="59"/>
      <c r="F45" s="111"/>
      <c r="G45" s="111"/>
      <c r="H45" s="111"/>
      <c r="I45" s="111"/>
      <c r="J45" s="55"/>
      <c r="K45" s="122"/>
    </row>
    <row r="46" spans="2:18" x14ac:dyDescent="0.3">
      <c r="B46" s="139"/>
      <c r="C46" s="111"/>
      <c r="D46" s="111"/>
      <c r="E46" s="140"/>
      <c r="F46" s="111"/>
      <c r="G46" s="111"/>
      <c r="H46" s="111"/>
      <c r="I46" s="111"/>
      <c r="J46" s="55"/>
      <c r="K46" s="122"/>
    </row>
    <row r="47" spans="2:18" x14ac:dyDescent="0.3">
      <c r="B47" s="139"/>
      <c r="C47" s="111" t="s">
        <v>100</v>
      </c>
      <c r="D47" s="111"/>
      <c r="E47" s="140"/>
      <c r="F47" s="111"/>
      <c r="G47" s="111"/>
      <c r="H47" s="111"/>
      <c r="I47" s="111"/>
      <c r="J47" s="55"/>
      <c r="K47" s="122"/>
    </row>
    <row r="48" spans="2:18" x14ac:dyDescent="0.3">
      <c r="B48" s="139"/>
      <c r="C48" s="141" t="s">
        <v>99</v>
      </c>
      <c r="D48" s="111"/>
      <c r="E48" s="140"/>
      <c r="F48" s="111"/>
      <c r="G48" s="111"/>
      <c r="H48" s="111"/>
      <c r="I48" s="111"/>
      <c r="J48" s="55"/>
      <c r="K48" s="122">
        <v>1</v>
      </c>
    </row>
    <row r="49" spans="2:11" x14ac:dyDescent="0.3">
      <c r="B49" s="139"/>
      <c r="C49" s="141" t="s">
        <v>96</v>
      </c>
      <c r="D49" s="111"/>
      <c r="E49" s="140"/>
      <c r="F49" s="111"/>
      <c r="G49" s="111"/>
      <c r="H49" s="111"/>
      <c r="I49" s="111"/>
      <c r="J49" s="55"/>
      <c r="K49" s="122">
        <v>1</v>
      </c>
    </row>
    <row r="50" spans="2:11" x14ac:dyDescent="0.3">
      <c r="B50" s="139"/>
      <c r="C50" s="111" t="s">
        <v>97</v>
      </c>
      <c r="D50" s="111"/>
      <c r="E50" s="140"/>
      <c r="F50" s="111"/>
      <c r="G50" s="111"/>
      <c r="H50" s="111"/>
      <c r="I50" s="111"/>
      <c r="J50" s="55"/>
      <c r="K50" s="122">
        <v>1</v>
      </c>
    </row>
    <row r="51" spans="2:11" x14ac:dyDescent="0.3">
      <c r="B51" s="139"/>
      <c r="C51" s="111" t="s">
        <v>98</v>
      </c>
      <c r="D51" s="111"/>
      <c r="E51" s="140"/>
      <c r="F51" s="111"/>
      <c r="G51" s="111"/>
      <c r="H51" s="111"/>
      <c r="I51" s="111"/>
      <c r="J51" s="55"/>
      <c r="K51" s="122">
        <v>1</v>
      </c>
    </row>
    <row r="52" spans="2:11" x14ac:dyDescent="0.3">
      <c r="B52" s="139"/>
      <c r="C52" s="111"/>
      <c r="D52" s="111"/>
      <c r="E52" s="140"/>
      <c r="F52" s="111"/>
      <c r="G52" s="111"/>
      <c r="H52" s="111"/>
      <c r="I52" s="111"/>
      <c r="J52" s="55"/>
      <c r="K52" s="122"/>
    </row>
    <row r="53" spans="2:11" x14ac:dyDescent="0.3">
      <c r="B53" s="139"/>
      <c r="C53" s="155"/>
      <c r="D53" s="155"/>
      <c r="E53" s="156"/>
      <c r="F53" s="155"/>
      <c r="G53" s="155"/>
      <c r="H53" s="155"/>
      <c r="I53" s="155"/>
      <c r="J53" s="157"/>
      <c r="K53" s="158"/>
    </row>
    <row r="54" spans="2:11" x14ac:dyDescent="0.3">
      <c r="B54" s="139"/>
      <c r="C54" s="155"/>
      <c r="D54" s="155"/>
      <c r="E54" s="156"/>
      <c r="F54" s="155"/>
      <c r="G54" s="155"/>
      <c r="H54" s="155"/>
      <c r="I54" s="155"/>
      <c r="J54" s="157"/>
      <c r="K54" s="158"/>
    </row>
    <row r="55" spans="2:11" ht="17.25" thickBot="1" x14ac:dyDescent="0.35">
      <c r="B55" s="139"/>
      <c r="C55" s="155"/>
      <c r="D55" s="155"/>
      <c r="E55" s="156"/>
      <c r="F55" s="155"/>
      <c r="G55" s="155"/>
      <c r="H55" s="155"/>
      <c r="I55" s="155"/>
      <c r="J55" s="157"/>
      <c r="K55" s="158"/>
    </row>
    <row r="56" spans="2:11" x14ac:dyDescent="0.3">
      <c r="B56" s="129"/>
      <c r="C56" s="130"/>
      <c r="D56" s="130"/>
      <c r="E56" s="130"/>
      <c r="F56" s="130"/>
      <c r="G56" s="130"/>
      <c r="H56" s="130"/>
      <c r="I56" s="130"/>
      <c r="J56" s="130"/>
      <c r="K56" s="60"/>
    </row>
    <row r="57" spans="2:11" ht="17.25" thickBot="1" x14ac:dyDescent="0.35">
      <c r="B57" s="128"/>
      <c r="C57" s="112"/>
      <c r="D57" s="112"/>
      <c r="E57" s="112"/>
      <c r="F57" s="112"/>
      <c r="G57" s="112"/>
      <c r="H57" s="112"/>
      <c r="I57" s="112"/>
      <c r="J57" s="112"/>
      <c r="K57" s="61">
        <f>+K37+K48+K49+K50+Q34+K51</f>
        <v>358.76499999999999</v>
      </c>
    </row>
    <row r="58" spans="2:11" ht="18" thickTop="1" thickBot="1" x14ac:dyDescent="0.35">
      <c r="B58" s="131"/>
      <c r="C58" s="117"/>
      <c r="D58" s="117"/>
      <c r="E58" s="117"/>
      <c r="F58" s="117"/>
      <c r="G58" s="117"/>
      <c r="H58" s="117"/>
      <c r="I58" s="117"/>
      <c r="J58" s="117"/>
      <c r="K58" s="62"/>
    </row>
    <row r="62" spans="2:11" x14ac:dyDescent="0.3">
      <c r="B62" s="82" t="s">
        <v>60</v>
      </c>
      <c r="F62" s="81" t="s">
        <v>61</v>
      </c>
    </row>
  </sheetData>
  <mergeCells count="1">
    <mergeCell ref="B33:K33"/>
  </mergeCells>
  <pageMargins left="0.7" right="0.7" top="0.75" bottom="0.75" header="0.3" footer="0.3"/>
  <pageSetup paperSize="211" scale="82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M55"/>
  <sheetViews>
    <sheetView view="pageBreakPreview" topLeftCell="A4" zoomScaleSheetLayoutView="100" workbookViewId="0"/>
  </sheetViews>
  <sheetFormatPr defaultColWidth="9.140625" defaultRowHeight="16.5" x14ac:dyDescent="0.3"/>
  <cols>
    <col min="1" max="1" width="4.42578125" style="81" customWidth="1"/>
    <col min="2" max="2" width="4.5703125" style="82" customWidth="1"/>
    <col min="3" max="3" width="14.28515625" style="81" customWidth="1"/>
    <col min="4" max="4" width="10.28515625" style="81" customWidth="1"/>
    <col min="5" max="6" width="9.28515625" style="81" bestFit="1" customWidth="1"/>
    <col min="7" max="7" width="9.7109375" style="81" bestFit="1" customWidth="1"/>
    <col min="8" max="9" width="9.28515625" style="81" bestFit="1" customWidth="1"/>
    <col min="10" max="11" width="14" style="81" customWidth="1"/>
    <col min="12" max="16384" width="9.140625" style="81"/>
  </cols>
  <sheetData>
    <row r="1" spans="1:11" ht="17.25" thickBot="1" x14ac:dyDescent="0.35">
      <c r="A1" s="304"/>
    </row>
    <row r="2" spans="1:11" ht="17.25" thickBot="1" x14ac:dyDescent="0.35">
      <c r="D2" s="83" t="s">
        <v>25</v>
      </c>
      <c r="G2" s="84" t="s">
        <v>182</v>
      </c>
      <c r="H2" s="85"/>
      <c r="I2" s="86"/>
    </row>
    <row r="3" spans="1:11" x14ac:dyDescent="0.3">
      <c r="B3" s="82" t="s">
        <v>26</v>
      </c>
      <c r="D3" s="87" t="s">
        <v>134</v>
      </c>
      <c r="E3" s="87"/>
      <c r="F3" s="87"/>
    </row>
    <row r="4" spans="1:11" x14ac:dyDescent="0.3">
      <c r="B4" s="82" t="s">
        <v>28</v>
      </c>
      <c r="D4" s="87">
        <v>260</v>
      </c>
    </row>
    <row r="5" spans="1:11" x14ac:dyDescent="0.3">
      <c r="B5" s="82" t="s">
        <v>29</v>
      </c>
      <c r="D5" s="87" t="s">
        <v>135</v>
      </c>
    </row>
    <row r="6" spans="1:11" x14ac:dyDescent="0.3">
      <c r="B6" s="82" t="s">
        <v>31</v>
      </c>
      <c r="D6" s="87"/>
    </row>
    <row r="7" spans="1:11" x14ac:dyDescent="0.3">
      <c r="A7" s="81" t="s">
        <v>32</v>
      </c>
      <c r="B7" s="88" t="s">
        <v>33</v>
      </c>
      <c r="C7" s="89" t="s">
        <v>34</v>
      </c>
      <c r="D7" s="90" t="s">
        <v>35</v>
      </c>
      <c r="E7" s="90" t="s">
        <v>36</v>
      </c>
      <c r="F7" s="91" t="s">
        <v>37</v>
      </c>
      <c r="G7" s="90" t="s">
        <v>38</v>
      </c>
      <c r="H7" s="91" t="s">
        <v>39</v>
      </c>
      <c r="I7" s="90" t="s">
        <v>40</v>
      </c>
      <c r="J7" s="91" t="s">
        <v>41</v>
      </c>
      <c r="K7" s="234" t="s">
        <v>156</v>
      </c>
    </row>
    <row r="8" spans="1:11" x14ac:dyDescent="0.3">
      <c r="B8" s="92" t="s">
        <v>43</v>
      </c>
      <c r="C8" s="93"/>
      <c r="D8" s="94" t="s">
        <v>34</v>
      </c>
      <c r="E8" s="94"/>
      <c r="F8" s="95"/>
      <c r="G8" s="94"/>
      <c r="H8" s="95"/>
      <c r="I8" s="94"/>
      <c r="J8" s="95" t="s">
        <v>44</v>
      </c>
      <c r="K8" s="240" t="s">
        <v>157</v>
      </c>
    </row>
    <row r="9" spans="1:11" x14ac:dyDescent="0.3">
      <c r="B9" s="100"/>
      <c r="C9" s="101">
        <v>2015</v>
      </c>
      <c r="D9" s="100"/>
      <c r="E9" s="100"/>
      <c r="F9" s="100"/>
      <c r="G9" s="100"/>
      <c r="H9" s="100"/>
      <c r="I9" s="100"/>
      <c r="J9" s="238"/>
      <c r="K9" s="241"/>
    </row>
    <row r="10" spans="1:11" x14ac:dyDescent="0.3">
      <c r="B10" s="100">
        <v>1</v>
      </c>
      <c r="C10" s="97" t="s">
        <v>181</v>
      </c>
      <c r="D10" s="224">
        <v>5</v>
      </c>
      <c r="E10" s="224"/>
      <c r="F10" s="224"/>
      <c r="G10" s="224"/>
      <c r="H10" s="153"/>
      <c r="I10" s="153"/>
      <c r="J10" s="239">
        <f t="shared" ref="J10:J36" si="0">D10-E10-F10-G10-H10</f>
        <v>5</v>
      </c>
      <c r="K10" s="241">
        <f t="shared" ref="K10:K36" si="1">J10*30/365</f>
        <v>0.41095890410958902</v>
      </c>
    </row>
    <row r="11" spans="1:11" x14ac:dyDescent="0.3">
      <c r="B11" s="100"/>
      <c r="C11" s="101">
        <v>2016</v>
      </c>
      <c r="D11" s="224"/>
      <c r="E11" s="224"/>
      <c r="F11" s="224"/>
      <c r="G11" s="224"/>
      <c r="H11" s="153"/>
      <c r="I11" s="153"/>
      <c r="J11" s="239"/>
      <c r="K11" s="241"/>
    </row>
    <row r="12" spans="1:11" x14ac:dyDescent="0.3">
      <c r="B12" s="100">
        <v>2</v>
      </c>
      <c r="C12" s="176" t="s">
        <v>46</v>
      </c>
      <c r="D12" s="224">
        <v>31</v>
      </c>
      <c r="E12" s="224"/>
      <c r="F12" s="224"/>
      <c r="G12" s="224"/>
      <c r="H12" s="153"/>
      <c r="I12" s="153"/>
      <c r="J12" s="239">
        <f t="shared" si="0"/>
        <v>31</v>
      </c>
      <c r="K12" s="241">
        <f t="shared" si="1"/>
        <v>2.547945205479452</v>
      </c>
    </row>
    <row r="13" spans="1:11" x14ac:dyDescent="0.3">
      <c r="B13" s="100">
        <v>3</v>
      </c>
      <c r="C13" s="176" t="s">
        <v>47</v>
      </c>
      <c r="D13" s="224">
        <v>29</v>
      </c>
      <c r="E13" s="224"/>
      <c r="F13" s="224"/>
      <c r="G13" s="224"/>
      <c r="H13" s="153"/>
      <c r="I13" s="153"/>
      <c r="J13" s="239">
        <f t="shared" si="0"/>
        <v>29</v>
      </c>
      <c r="K13" s="241">
        <f t="shared" si="1"/>
        <v>2.3835616438356166</v>
      </c>
    </row>
    <row r="14" spans="1:11" x14ac:dyDescent="0.3">
      <c r="B14" s="100">
        <v>4</v>
      </c>
      <c r="C14" s="176" t="s">
        <v>48</v>
      </c>
      <c r="D14" s="224">
        <v>31</v>
      </c>
      <c r="E14" s="224"/>
      <c r="F14" s="224"/>
      <c r="G14" s="224"/>
      <c r="H14" s="153"/>
      <c r="I14" s="153"/>
      <c r="J14" s="239">
        <f t="shared" si="0"/>
        <v>31</v>
      </c>
      <c r="K14" s="241">
        <f t="shared" si="1"/>
        <v>2.547945205479452</v>
      </c>
    </row>
    <row r="15" spans="1:11" x14ac:dyDescent="0.3">
      <c r="B15" s="100">
        <v>5</v>
      </c>
      <c r="C15" s="176" t="s">
        <v>49</v>
      </c>
      <c r="D15" s="224">
        <v>30</v>
      </c>
      <c r="E15" s="224"/>
      <c r="F15" s="224"/>
      <c r="G15" s="224"/>
      <c r="H15" s="153"/>
      <c r="I15" s="153"/>
      <c r="J15" s="239">
        <f t="shared" si="0"/>
        <v>30</v>
      </c>
      <c r="K15" s="241">
        <f t="shared" si="1"/>
        <v>2.4657534246575343</v>
      </c>
    </row>
    <row r="16" spans="1:11" x14ac:dyDescent="0.3">
      <c r="B16" s="100">
        <v>6</v>
      </c>
      <c r="C16" s="176" t="s">
        <v>68</v>
      </c>
      <c r="D16" s="224">
        <v>31</v>
      </c>
      <c r="E16" s="224"/>
      <c r="F16" s="224"/>
      <c r="G16" s="224"/>
      <c r="H16" s="153"/>
      <c r="I16" s="153"/>
      <c r="J16" s="239">
        <f t="shared" si="0"/>
        <v>31</v>
      </c>
      <c r="K16" s="241">
        <f t="shared" si="1"/>
        <v>2.547945205479452</v>
      </c>
    </row>
    <row r="17" spans="2:11" x14ac:dyDescent="0.3">
      <c r="B17" s="100">
        <v>7</v>
      </c>
      <c r="C17" s="176" t="s">
        <v>69</v>
      </c>
      <c r="D17" s="224">
        <v>30</v>
      </c>
      <c r="E17" s="224"/>
      <c r="F17" s="224"/>
      <c r="G17" s="224"/>
      <c r="H17" s="153"/>
      <c r="I17" s="153"/>
      <c r="J17" s="239">
        <f t="shared" si="0"/>
        <v>30</v>
      </c>
      <c r="K17" s="241">
        <f t="shared" si="1"/>
        <v>2.4657534246575343</v>
      </c>
    </row>
    <row r="18" spans="2:11" x14ac:dyDescent="0.3">
      <c r="B18" s="100">
        <v>8</v>
      </c>
      <c r="C18" s="176" t="s">
        <v>155</v>
      </c>
      <c r="D18" s="224">
        <v>31</v>
      </c>
      <c r="E18" s="224"/>
      <c r="F18" s="224"/>
      <c r="G18" s="224"/>
      <c r="H18" s="153"/>
      <c r="I18" s="153"/>
      <c r="J18" s="239">
        <f t="shared" si="0"/>
        <v>31</v>
      </c>
      <c r="K18" s="241">
        <f t="shared" si="1"/>
        <v>2.547945205479452</v>
      </c>
    </row>
    <row r="19" spans="2:11" x14ac:dyDescent="0.3">
      <c r="B19" s="100">
        <v>9</v>
      </c>
      <c r="C19" s="176" t="s">
        <v>71</v>
      </c>
      <c r="D19" s="224">
        <v>31</v>
      </c>
      <c r="E19" s="224"/>
      <c r="F19" s="224"/>
      <c r="G19" s="224"/>
      <c r="H19" s="153"/>
      <c r="I19" s="153"/>
      <c r="J19" s="239">
        <f t="shared" si="0"/>
        <v>31</v>
      </c>
      <c r="K19" s="241">
        <f t="shared" si="1"/>
        <v>2.547945205479452</v>
      </c>
    </row>
    <row r="20" spans="2:11" x14ac:dyDescent="0.3">
      <c r="B20" s="100">
        <v>10</v>
      </c>
      <c r="C20" s="176" t="s">
        <v>72</v>
      </c>
      <c r="D20" s="224">
        <v>30</v>
      </c>
      <c r="E20" s="224"/>
      <c r="F20" s="224"/>
      <c r="G20" s="224"/>
      <c r="H20" s="153"/>
      <c r="I20" s="153"/>
      <c r="J20" s="239">
        <f t="shared" si="0"/>
        <v>30</v>
      </c>
      <c r="K20" s="241">
        <f t="shared" si="1"/>
        <v>2.4657534246575343</v>
      </c>
    </row>
    <row r="21" spans="2:11" x14ac:dyDescent="0.3">
      <c r="B21" s="100">
        <v>11</v>
      </c>
      <c r="C21" s="176" t="s">
        <v>73</v>
      </c>
      <c r="D21" s="224">
        <v>31</v>
      </c>
      <c r="E21" s="224"/>
      <c r="F21" s="224"/>
      <c r="G21" s="224"/>
      <c r="H21" s="153"/>
      <c r="I21" s="153"/>
      <c r="J21" s="239">
        <f t="shared" si="0"/>
        <v>31</v>
      </c>
      <c r="K21" s="241">
        <f t="shared" si="1"/>
        <v>2.547945205479452</v>
      </c>
    </row>
    <row r="22" spans="2:11" x14ac:dyDescent="0.3">
      <c r="B22" s="100">
        <v>12</v>
      </c>
      <c r="C22" s="176" t="s">
        <v>74</v>
      </c>
      <c r="D22" s="224">
        <v>30</v>
      </c>
      <c r="E22" s="224">
        <v>11</v>
      </c>
      <c r="F22" s="224">
        <v>1</v>
      </c>
      <c r="G22" s="224"/>
      <c r="H22" s="153"/>
      <c r="I22" s="153"/>
      <c r="J22" s="239">
        <f t="shared" si="0"/>
        <v>18</v>
      </c>
      <c r="K22" s="241">
        <f t="shared" si="1"/>
        <v>1.4794520547945205</v>
      </c>
    </row>
    <row r="23" spans="2:11" x14ac:dyDescent="0.3">
      <c r="B23" s="100">
        <v>13</v>
      </c>
      <c r="C23" s="293" t="s">
        <v>181</v>
      </c>
      <c r="D23" s="224">
        <v>31</v>
      </c>
      <c r="E23" s="224">
        <v>16</v>
      </c>
      <c r="F23" s="224"/>
      <c r="G23" s="224"/>
      <c r="H23" s="153">
        <v>15</v>
      </c>
      <c r="I23" s="153"/>
      <c r="J23" s="239">
        <f t="shared" si="0"/>
        <v>0</v>
      </c>
      <c r="K23" s="241">
        <f t="shared" si="1"/>
        <v>0</v>
      </c>
    </row>
    <row r="24" spans="2:11" x14ac:dyDescent="0.3">
      <c r="B24" s="238"/>
      <c r="C24" s="101">
        <v>2017</v>
      </c>
      <c r="D24" s="224"/>
      <c r="E24" s="224"/>
      <c r="F24" s="224"/>
      <c r="G24" s="224"/>
      <c r="H24" s="153"/>
      <c r="I24" s="153"/>
      <c r="J24" s="239">
        <f t="shared" si="0"/>
        <v>0</v>
      </c>
      <c r="K24" s="241">
        <f t="shared" si="1"/>
        <v>0</v>
      </c>
    </row>
    <row r="25" spans="2:11" x14ac:dyDescent="0.3">
      <c r="B25" s="296">
        <v>14</v>
      </c>
      <c r="C25" s="297" t="s">
        <v>46</v>
      </c>
      <c r="D25" s="224">
        <v>31</v>
      </c>
      <c r="E25" s="224"/>
      <c r="F25" s="224">
        <v>2</v>
      </c>
      <c r="G25" s="224"/>
      <c r="H25" s="153">
        <v>3</v>
      </c>
      <c r="I25" s="153"/>
      <c r="J25" s="239">
        <f t="shared" si="0"/>
        <v>26</v>
      </c>
      <c r="K25" s="241">
        <f t="shared" si="1"/>
        <v>2.1369863013698631</v>
      </c>
    </row>
    <row r="26" spans="2:11" x14ac:dyDescent="0.3">
      <c r="B26" s="296">
        <v>15</v>
      </c>
      <c r="C26" s="297" t="s">
        <v>47</v>
      </c>
      <c r="D26" s="224">
        <v>28</v>
      </c>
      <c r="E26" s="224"/>
      <c r="F26" s="224"/>
      <c r="G26" s="224"/>
      <c r="H26" s="153"/>
      <c r="I26" s="153"/>
      <c r="J26" s="239">
        <f t="shared" si="0"/>
        <v>28</v>
      </c>
      <c r="K26" s="241">
        <f t="shared" si="1"/>
        <v>2.3013698630136985</v>
      </c>
    </row>
    <row r="27" spans="2:11" x14ac:dyDescent="0.3">
      <c r="B27" s="296">
        <v>16</v>
      </c>
      <c r="C27" s="297" t="s">
        <v>48</v>
      </c>
      <c r="D27" s="224">
        <v>31</v>
      </c>
      <c r="E27" s="224"/>
      <c r="F27" s="224"/>
      <c r="G27" s="224"/>
      <c r="H27" s="153"/>
      <c r="I27" s="153"/>
      <c r="J27" s="239">
        <f t="shared" si="0"/>
        <v>31</v>
      </c>
      <c r="K27" s="241">
        <f t="shared" si="1"/>
        <v>2.547945205479452</v>
      </c>
    </row>
    <row r="28" spans="2:11" x14ac:dyDescent="0.3">
      <c r="B28" s="296">
        <v>17</v>
      </c>
      <c r="C28" s="297" t="s">
        <v>49</v>
      </c>
      <c r="D28" s="224">
        <v>30</v>
      </c>
      <c r="E28" s="224"/>
      <c r="F28" s="224"/>
      <c r="G28" s="224"/>
      <c r="H28" s="153"/>
      <c r="I28" s="153"/>
      <c r="J28" s="239">
        <f t="shared" si="0"/>
        <v>30</v>
      </c>
      <c r="K28" s="241">
        <f t="shared" si="1"/>
        <v>2.4657534246575343</v>
      </c>
    </row>
    <row r="29" spans="2:11" x14ac:dyDescent="0.3">
      <c r="B29" s="296">
        <v>18</v>
      </c>
      <c r="C29" s="297" t="s">
        <v>68</v>
      </c>
      <c r="D29" s="224">
        <v>31</v>
      </c>
      <c r="E29" s="224"/>
      <c r="F29" s="224"/>
      <c r="G29" s="224"/>
      <c r="H29" s="153"/>
      <c r="I29" s="153"/>
      <c r="J29" s="239">
        <f t="shared" si="0"/>
        <v>31</v>
      </c>
      <c r="K29" s="241">
        <f t="shared" si="1"/>
        <v>2.547945205479452</v>
      </c>
    </row>
    <row r="30" spans="2:11" x14ac:dyDescent="0.3">
      <c r="B30" s="296">
        <v>19</v>
      </c>
      <c r="C30" s="297" t="s">
        <v>69</v>
      </c>
      <c r="D30" s="224">
        <v>30</v>
      </c>
      <c r="E30" s="224"/>
      <c r="F30" s="224">
        <v>1</v>
      </c>
      <c r="G30" s="224"/>
      <c r="H30" s="153"/>
      <c r="I30" s="153"/>
      <c r="J30" s="239">
        <f t="shared" si="0"/>
        <v>29</v>
      </c>
      <c r="K30" s="241">
        <f t="shared" si="1"/>
        <v>2.3835616438356166</v>
      </c>
    </row>
    <row r="31" spans="2:11" x14ac:dyDescent="0.3">
      <c r="B31" s="296">
        <v>20</v>
      </c>
      <c r="C31" s="297" t="s">
        <v>155</v>
      </c>
      <c r="D31" s="224">
        <v>31</v>
      </c>
      <c r="E31" s="224"/>
      <c r="F31" s="224"/>
      <c r="G31" s="224"/>
      <c r="H31" s="153"/>
      <c r="I31" s="153"/>
      <c r="J31" s="239">
        <f t="shared" si="0"/>
        <v>31</v>
      </c>
      <c r="K31" s="241">
        <f t="shared" si="1"/>
        <v>2.547945205479452</v>
      </c>
    </row>
    <row r="32" spans="2:11" x14ac:dyDescent="0.3">
      <c r="B32" s="296">
        <v>21</v>
      </c>
      <c r="C32" s="297" t="s">
        <v>71</v>
      </c>
      <c r="D32" s="224">
        <v>31</v>
      </c>
      <c r="E32" s="224"/>
      <c r="F32" s="224"/>
      <c r="G32" s="224"/>
      <c r="H32" s="153"/>
      <c r="I32" s="153"/>
      <c r="J32" s="239">
        <f t="shared" si="0"/>
        <v>31</v>
      </c>
      <c r="K32" s="241">
        <f t="shared" si="1"/>
        <v>2.547945205479452</v>
      </c>
    </row>
    <row r="33" spans="2:13" x14ac:dyDescent="0.3">
      <c r="B33" s="296">
        <v>22</v>
      </c>
      <c r="C33" s="297" t="s">
        <v>72</v>
      </c>
      <c r="D33" s="224">
        <v>30</v>
      </c>
      <c r="E33" s="224"/>
      <c r="F33" s="224"/>
      <c r="G33" s="224"/>
      <c r="H33" s="153"/>
      <c r="I33" s="153"/>
      <c r="J33" s="239">
        <f t="shared" si="0"/>
        <v>30</v>
      </c>
      <c r="K33" s="241">
        <f t="shared" si="1"/>
        <v>2.4657534246575343</v>
      </c>
    </row>
    <row r="34" spans="2:13" x14ac:dyDescent="0.3">
      <c r="B34" s="296">
        <v>23</v>
      </c>
      <c r="C34" s="297" t="s">
        <v>73</v>
      </c>
      <c r="D34" s="224">
        <v>31</v>
      </c>
      <c r="E34" s="224"/>
      <c r="F34" s="224"/>
      <c r="G34" s="224"/>
      <c r="H34" s="153"/>
      <c r="I34" s="153"/>
      <c r="J34" s="239">
        <f t="shared" si="0"/>
        <v>31</v>
      </c>
      <c r="K34" s="241">
        <f t="shared" si="1"/>
        <v>2.547945205479452</v>
      </c>
    </row>
    <row r="35" spans="2:13" x14ac:dyDescent="0.3">
      <c r="B35" s="296">
        <v>24</v>
      </c>
      <c r="C35" s="297" t="s">
        <v>74</v>
      </c>
      <c r="D35" s="224">
        <v>30</v>
      </c>
      <c r="E35" s="224"/>
      <c r="F35" s="224"/>
      <c r="G35" s="224"/>
      <c r="H35" s="153"/>
      <c r="I35" s="153"/>
      <c r="J35" s="239">
        <f t="shared" si="0"/>
        <v>30</v>
      </c>
      <c r="K35" s="241">
        <f t="shared" si="1"/>
        <v>2.4657534246575343</v>
      </c>
    </row>
    <row r="36" spans="2:13" x14ac:dyDescent="0.3">
      <c r="B36" s="296">
        <v>25</v>
      </c>
      <c r="C36" s="298" t="s">
        <v>181</v>
      </c>
      <c r="D36" s="224">
        <v>31</v>
      </c>
      <c r="E36" s="224">
        <v>8</v>
      </c>
      <c r="F36" s="224"/>
      <c r="G36" s="224"/>
      <c r="H36" s="153"/>
      <c r="I36" s="153"/>
      <c r="J36" s="239">
        <f t="shared" si="0"/>
        <v>23</v>
      </c>
      <c r="K36" s="241">
        <f t="shared" si="1"/>
        <v>1.8904109589041096</v>
      </c>
    </row>
    <row r="37" spans="2:13" x14ac:dyDescent="0.3">
      <c r="B37" s="105" t="s">
        <v>50</v>
      </c>
      <c r="C37" s="106"/>
      <c r="D37" s="294">
        <f t="shared" ref="D37:K37" si="2">SUM(D9:D36)</f>
        <v>736</v>
      </c>
      <c r="E37" s="294">
        <f t="shared" si="2"/>
        <v>35</v>
      </c>
      <c r="F37" s="294">
        <f t="shared" si="2"/>
        <v>4</v>
      </c>
      <c r="G37" s="294">
        <f t="shared" si="2"/>
        <v>0</v>
      </c>
      <c r="H37" s="294">
        <f t="shared" si="2"/>
        <v>18</v>
      </c>
      <c r="I37" s="294">
        <f t="shared" si="2"/>
        <v>0</v>
      </c>
      <c r="J37" s="294">
        <f t="shared" si="2"/>
        <v>679</v>
      </c>
      <c r="K37" s="294">
        <f t="shared" si="2"/>
        <v>55.80821917808219</v>
      </c>
    </row>
    <row r="38" spans="2:13" ht="17.25" thickBot="1" x14ac:dyDescent="0.35">
      <c r="B38" s="108"/>
      <c r="C38" s="109"/>
      <c r="D38" s="109"/>
      <c r="E38" s="109"/>
      <c r="F38" s="109"/>
      <c r="G38" s="109"/>
      <c r="H38" s="109"/>
      <c r="I38" s="109"/>
      <c r="J38" s="109"/>
      <c r="K38" s="112"/>
      <c r="M38" s="132"/>
    </row>
    <row r="39" spans="2:13" ht="17.25" thickBot="1" x14ac:dyDescent="0.35">
      <c r="B39" s="340" t="s">
        <v>51</v>
      </c>
      <c r="C39" s="341"/>
      <c r="D39" s="341"/>
      <c r="E39" s="341"/>
      <c r="F39" s="341"/>
      <c r="G39" s="341"/>
      <c r="H39" s="341"/>
      <c r="I39" s="341"/>
      <c r="J39" s="341"/>
      <c r="K39" s="235"/>
    </row>
    <row r="40" spans="2:13" x14ac:dyDescent="0.3">
      <c r="B40" s="110" t="s">
        <v>205</v>
      </c>
      <c r="C40" s="111" t="s">
        <v>184</v>
      </c>
      <c r="D40" s="111"/>
      <c r="E40" s="111"/>
      <c r="F40" s="111"/>
      <c r="G40" s="111"/>
      <c r="H40" s="111"/>
      <c r="I40" s="112"/>
      <c r="J40" s="51">
        <v>3</v>
      </c>
      <c r="K40" s="55"/>
      <c r="L40" s="132"/>
    </row>
    <row r="41" spans="2:13" x14ac:dyDescent="0.3">
      <c r="B41" s="110"/>
      <c r="C41" s="111"/>
      <c r="D41" s="111"/>
      <c r="E41" s="111"/>
      <c r="F41" s="111"/>
      <c r="G41" s="111"/>
      <c r="H41" s="111"/>
      <c r="I41" s="112"/>
      <c r="J41" s="51"/>
      <c r="K41" s="55"/>
    </row>
    <row r="42" spans="2:13" ht="17.25" thickBot="1" x14ac:dyDescent="0.35">
      <c r="B42" s="110" t="s">
        <v>54</v>
      </c>
      <c r="C42" s="111"/>
      <c r="D42" s="111"/>
      <c r="E42" s="111"/>
      <c r="F42" s="111"/>
      <c r="G42" s="111"/>
      <c r="H42" s="111"/>
      <c r="I42" s="112"/>
      <c r="J42" s="53">
        <f>+K37+J40</f>
        <v>58.80821917808219</v>
      </c>
      <c r="K42" s="237"/>
    </row>
    <row r="43" spans="2:13" ht="17.25" thickBot="1" x14ac:dyDescent="0.35">
      <c r="B43" s="115"/>
      <c r="C43" s="116" t="s">
        <v>199</v>
      </c>
      <c r="D43" s="116"/>
      <c r="E43" s="116"/>
      <c r="F43" s="116"/>
      <c r="G43" s="116"/>
      <c r="H43" s="116"/>
      <c r="I43" s="117"/>
      <c r="J43" s="54">
        <v>35</v>
      </c>
      <c r="K43" s="236"/>
    </row>
    <row r="44" spans="2:13" ht="17.25" thickBot="1" x14ac:dyDescent="0.35">
      <c r="B44" s="139"/>
      <c r="C44" s="111" t="s">
        <v>200</v>
      </c>
      <c r="D44" s="111"/>
      <c r="E44" s="111"/>
      <c r="F44" s="111"/>
      <c r="G44" s="111"/>
      <c r="H44" s="111"/>
      <c r="I44" s="112"/>
      <c r="J44" s="299">
        <f>J42-J43</f>
        <v>23.80821917808219</v>
      </c>
      <c r="K44" s="236"/>
    </row>
    <row r="45" spans="2:13" x14ac:dyDescent="0.3">
      <c r="B45" s="225" t="s">
        <v>55</v>
      </c>
      <c r="C45" s="226"/>
      <c r="D45" s="226"/>
      <c r="E45" s="227"/>
      <c r="F45" s="228"/>
      <c r="G45" s="228"/>
      <c r="H45" s="228"/>
      <c r="I45" s="228"/>
      <c r="J45" s="229"/>
      <c r="K45" s="55"/>
    </row>
    <row r="46" spans="2:13" x14ac:dyDescent="0.3">
      <c r="B46" s="123">
        <v>1</v>
      </c>
      <c r="C46" s="111" t="s">
        <v>56</v>
      </c>
      <c r="D46" s="111"/>
      <c r="E46" s="56">
        <f>F37</f>
        <v>4</v>
      </c>
      <c r="F46" s="111"/>
      <c r="G46" s="111" t="s">
        <v>201</v>
      </c>
      <c r="H46" s="111"/>
      <c r="I46" s="111"/>
      <c r="J46" s="230"/>
      <c r="K46" s="55"/>
    </row>
    <row r="47" spans="2:13" x14ac:dyDescent="0.3">
      <c r="B47" s="110">
        <v>2</v>
      </c>
      <c r="C47" s="111" t="s">
        <v>57</v>
      </c>
      <c r="D47" s="111"/>
      <c r="E47" s="57">
        <v>0</v>
      </c>
      <c r="F47" s="111"/>
      <c r="G47" s="111"/>
      <c r="H47" s="111"/>
      <c r="I47" s="111"/>
      <c r="J47" s="230"/>
      <c r="K47" s="55"/>
    </row>
    <row r="48" spans="2:13" x14ac:dyDescent="0.3">
      <c r="B48" s="110">
        <v>3</v>
      </c>
      <c r="C48" s="111" t="s">
        <v>58</v>
      </c>
      <c r="D48" s="111"/>
      <c r="E48" s="57">
        <v>0</v>
      </c>
      <c r="F48" s="111"/>
      <c r="G48" s="111" t="s">
        <v>202</v>
      </c>
      <c r="H48" s="111"/>
      <c r="I48" s="111"/>
      <c r="J48" s="230">
        <v>30</v>
      </c>
      <c r="K48" s="55"/>
    </row>
    <row r="49" spans="2:11" x14ac:dyDescent="0.3">
      <c r="B49" s="110">
        <v>4</v>
      </c>
      <c r="C49" s="111" t="s">
        <v>40</v>
      </c>
      <c r="D49" s="111"/>
      <c r="E49" s="57">
        <v>0</v>
      </c>
      <c r="F49" s="111"/>
      <c r="G49" s="111" t="s">
        <v>203</v>
      </c>
      <c r="H49" s="111"/>
      <c r="I49" s="111"/>
      <c r="J49" s="300">
        <f>J44-J48</f>
        <v>-6.1917808219178099</v>
      </c>
      <c r="K49" s="55"/>
    </row>
    <row r="50" spans="2:11" ht="17.25" thickBot="1" x14ac:dyDescent="0.35">
      <c r="B50" s="124" t="s">
        <v>59</v>
      </c>
      <c r="C50" s="125"/>
      <c r="D50" s="126"/>
      <c r="E50" s="58">
        <f>+E46+E47+E48+E49</f>
        <v>4</v>
      </c>
      <c r="F50" s="111"/>
      <c r="G50" s="111"/>
      <c r="H50" s="111"/>
      <c r="I50" s="111"/>
      <c r="J50" s="230"/>
      <c r="K50" s="55"/>
    </row>
    <row r="51" spans="2:11" ht="17.25" thickTop="1" x14ac:dyDescent="0.3">
      <c r="B51" s="127"/>
      <c r="C51" s="120"/>
      <c r="D51" s="120"/>
      <c r="E51" s="59"/>
      <c r="F51" s="111"/>
      <c r="G51" s="111"/>
      <c r="H51" s="111"/>
      <c r="I51" s="111"/>
      <c r="J51" s="230"/>
      <c r="K51" s="55"/>
    </row>
    <row r="52" spans="2:11" x14ac:dyDescent="0.3">
      <c r="B52" s="139"/>
      <c r="C52" s="111"/>
      <c r="D52" s="111"/>
      <c r="E52" s="140"/>
      <c r="F52" s="111"/>
      <c r="G52" s="111"/>
      <c r="H52" s="111"/>
      <c r="I52" s="111"/>
      <c r="J52" s="230"/>
      <c r="K52" s="55"/>
    </row>
    <row r="53" spans="2:11" x14ac:dyDescent="0.3">
      <c r="B53" s="139"/>
      <c r="C53" s="111"/>
      <c r="D53" s="111"/>
      <c r="E53" s="140"/>
      <c r="F53" s="111"/>
      <c r="G53" s="111"/>
      <c r="H53" s="111"/>
      <c r="I53" s="111"/>
      <c r="J53" s="230"/>
      <c r="K53" s="55"/>
    </row>
    <row r="54" spans="2:11" x14ac:dyDescent="0.3">
      <c r="B54" s="139"/>
      <c r="C54" s="141"/>
      <c r="D54" s="111"/>
      <c r="E54" s="140"/>
      <c r="F54" s="111"/>
      <c r="G54" s="111"/>
      <c r="H54" s="111"/>
      <c r="I54" s="111"/>
      <c r="J54" s="230"/>
      <c r="K54" s="55"/>
    </row>
    <row r="55" spans="2:11" ht="17.25" thickBot="1" x14ac:dyDescent="0.35">
      <c r="B55" s="221"/>
      <c r="C55" s="222"/>
      <c r="D55" s="116"/>
      <c r="E55" s="223"/>
      <c r="F55" s="116"/>
      <c r="G55" s="116"/>
      <c r="H55" s="116"/>
      <c r="I55" s="116"/>
      <c r="J55" s="231"/>
      <c r="K55" s="55"/>
    </row>
  </sheetData>
  <mergeCells count="1">
    <mergeCell ref="B39:J39"/>
  </mergeCells>
  <pageMargins left="0.25" right="0.25" top="0.75" bottom="0.75" header="0.3" footer="0.3"/>
  <pageSetup paperSize="9" scale="83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112"/>
  <sheetViews>
    <sheetView zoomScaleNormal="100" workbookViewId="0"/>
  </sheetViews>
  <sheetFormatPr defaultRowHeight="12.75" x14ac:dyDescent="0.2"/>
  <cols>
    <col min="1" max="1" width="10.28515625" customWidth="1"/>
  </cols>
  <sheetData>
    <row r="1" spans="1:22" x14ac:dyDescent="0.2">
      <c r="A1" s="303"/>
      <c r="B1" s="303"/>
      <c r="C1" s="303"/>
      <c r="D1" s="303"/>
      <c r="E1" s="303"/>
      <c r="F1" s="303"/>
      <c r="G1" s="303"/>
      <c r="H1" s="303"/>
      <c r="I1" s="303"/>
      <c r="J1" s="303"/>
      <c r="K1" s="303"/>
      <c r="L1" s="303"/>
      <c r="M1" s="303"/>
      <c r="N1" s="303"/>
      <c r="O1" s="303"/>
      <c r="P1" s="303"/>
      <c r="Q1" s="303"/>
      <c r="R1" s="303"/>
      <c r="S1" s="303"/>
      <c r="T1" s="303"/>
      <c r="U1" s="303"/>
      <c r="V1" s="303"/>
    </row>
    <row r="2" spans="1:22" x14ac:dyDescent="0.2">
      <c r="A2" s="303"/>
      <c r="B2" s="303"/>
      <c r="C2" s="303"/>
      <c r="D2" s="303"/>
      <c r="E2" s="303"/>
      <c r="F2" s="303"/>
      <c r="G2" s="303"/>
      <c r="H2" s="303"/>
      <c r="I2" s="303"/>
      <c r="J2" s="303"/>
      <c r="K2" s="303"/>
      <c r="L2" s="303"/>
      <c r="M2" s="303"/>
      <c r="N2" s="303"/>
      <c r="O2" s="303"/>
      <c r="P2" s="303"/>
      <c r="Q2" s="303"/>
      <c r="R2" s="303"/>
      <c r="S2" s="303"/>
      <c r="T2" s="303"/>
      <c r="U2" s="303"/>
      <c r="V2" s="303"/>
    </row>
    <row r="3" spans="1:22" x14ac:dyDescent="0.2">
      <c r="A3" s="303"/>
      <c r="B3" s="303"/>
      <c r="C3" s="303"/>
      <c r="D3" s="303"/>
      <c r="E3" s="303"/>
      <c r="F3" s="303"/>
      <c r="G3" s="303"/>
      <c r="H3" s="303"/>
      <c r="I3" s="303"/>
      <c r="J3" s="303"/>
      <c r="K3" s="303"/>
      <c r="L3" s="303"/>
      <c r="M3" s="303"/>
      <c r="N3" s="303"/>
      <c r="O3" s="303"/>
      <c r="P3" s="303"/>
      <c r="Q3" s="303"/>
      <c r="R3" s="303"/>
      <c r="S3" s="303"/>
      <c r="T3" s="303"/>
      <c r="U3" s="303"/>
      <c r="V3" s="303"/>
    </row>
    <row r="4" spans="1:22" x14ac:dyDescent="0.2">
      <c r="A4" s="303"/>
      <c r="B4" s="303"/>
      <c r="C4" s="303"/>
      <c r="D4" s="303"/>
      <c r="E4" s="303"/>
      <c r="F4" s="303"/>
      <c r="G4" s="303"/>
      <c r="H4" s="303"/>
      <c r="I4" s="303"/>
      <c r="J4" s="303"/>
      <c r="K4" s="303"/>
      <c r="L4" s="303"/>
      <c r="M4" s="303"/>
      <c r="N4" s="303"/>
      <c r="O4" s="303"/>
      <c r="P4" s="303"/>
      <c r="Q4" s="303"/>
      <c r="R4" s="303"/>
      <c r="S4" s="303"/>
      <c r="T4" s="303"/>
      <c r="U4" s="303"/>
      <c r="V4" s="303"/>
    </row>
    <row r="5" spans="1:22" x14ac:dyDescent="0.2">
      <c r="A5" s="303"/>
      <c r="B5" s="303"/>
      <c r="C5" s="303"/>
      <c r="D5" s="303"/>
      <c r="E5" s="303"/>
      <c r="F5" s="303"/>
      <c r="G5" s="303"/>
      <c r="H5" s="303"/>
      <c r="I5" s="303"/>
      <c r="J5" s="303"/>
      <c r="K5" s="303"/>
      <c r="L5" s="303"/>
      <c r="M5" s="303"/>
      <c r="N5" s="303"/>
      <c r="O5" s="303"/>
      <c r="P5" s="303"/>
      <c r="Q5" s="303"/>
      <c r="R5" s="303"/>
      <c r="S5" s="303"/>
      <c r="T5" s="303"/>
      <c r="U5" s="303"/>
      <c r="V5" s="303"/>
    </row>
    <row r="6" spans="1:22" x14ac:dyDescent="0.2">
      <c r="A6" s="303"/>
      <c r="B6" s="303"/>
      <c r="C6" s="303"/>
      <c r="D6" s="303"/>
      <c r="E6" s="303"/>
      <c r="F6" s="303"/>
      <c r="G6" s="303"/>
      <c r="H6" s="303"/>
      <c r="I6" s="303"/>
      <c r="J6" s="303"/>
      <c r="K6" s="303"/>
      <c r="L6" s="303"/>
      <c r="M6" s="303"/>
      <c r="N6" s="303"/>
      <c r="O6" s="303"/>
      <c r="P6" s="303"/>
      <c r="Q6" s="303"/>
      <c r="R6" s="303"/>
      <c r="S6" s="303"/>
      <c r="T6" s="303"/>
      <c r="U6" s="303"/>
      <c r="V6" s="303"/>
    </row>
    <row r="7" spans="1:22" x14ac:dyDescent="0.2">
      <c r="A7" s="303"/>
      <c r="B7" s="303"/>
      <c r="C7" s="303"/>
      <c r="D7" s="303"/>
      <c r="E7" s="303"/>
      <c r="F7" s="303"/>
      <c r="G7" s="303"/>
      <c r="H7" s="303"/>
      <c r="I7" s="303"/>
      <c r="J7" s="303"/>
      <c r="K7" s="303"/>
      <c r="L7" s="303"/>
      <c r="M7" s="303"/>
      <c r="N7" s="303"/>
      <c r="O7" s="303"/>
      <c r="P7" s="303"/>
      <c r="Q7" s="303"/>
      <c r="R7" s="303"/>
      <c r="S7" s="303"/>
      <c r="T7" s="303"/>
      <c r="U7" s="303"/>
      <c r="V7" s="303"/>
    </row>
    <row r="8" spans="1:22" x14ac:dyDescent="0.2">
      <c r="A8" s="303"/>
      <c r="B8" s="303"/>
      <c r="C8" s="303"/>
      <c r="D8" s="303"/>
      <c r="E8" s="303"/>
      <c r="F8" s="303"/>
      <c r="G8" s="303"/>
      <c r="H8" s="303"/>
      <c r="I8" s="303"/>
      <c r="J8" s="303"/>
      <c r="K8" s="303"/>
      <c r="L8" s="303"/>
      <c r="M8" s="303"/>
      <c r="N8" s="303"/>
      <c r="O8" s="303"/>
      <c r="P8" s="303"/>
      <c r="Q8" s="303"/>
      <c r="R8" s="303"/>
      <c r="S8" s="303"/>
      <c r="T8" s="303"/>
      <c r="U8" s="303"/>
      <c r="V8" s="303"/>
    </row>
    <row r="9" spans="1:22" x14ac:dyDescent="0.2">
      <c r="A9" s="303"/>
      <c r="B9" s="303"/>
      <c r="C9" s="303"/>
      <c r="D9" s="303"/>
      <c r="E9" s="303"/>
      <c r="F9" s="303"/>
      <c r="G9" s="303"/>
      <c r="H9" s="303"/>
      <c r="I9" s="303"/>
      <c r="J9" s="303"/>
      <c r="K9" s="303"/>
      <c r="L9" s="303"/>
      <c r="M9" s="303"/>
      <c r="N9" s="303"/>
      <c r="O9" s="303"/>
      <c r="P9" s="303"/>
      <c r="Q9" s="303"/>
      <c r="R9" s="303"/>
      <c r="S9" s="303"/>
      <c r="T9" s="303"/>
      <c r="U9" s="303"/>
      <c r="V9" s="303"/>
    </row>
    <row r="10" spans="1:22" x14ac:dyDescent="0.2">
      <c r="A10" s="303"/>
      <c r="B10" s="303"/>
      <c r="C10" s="303"/>
      <c r="D10" s="303"/>
      <c r="E10" s="303"/>
      <c r="F10" s="303"/>
      <c r="G10" s="303"/>
      <c r="H10" s="303"/>
      <c r="I10" s="303"/>
      <c r="J10" s="303"/>
      <c r="K10" s="303"/>
      <c r="L10" s="303"/>
      <c r="M10" s="303"/>
      <c r="N10" s="303"/>
      <c r="O10" s="303"/>
      <c r="P10" s="303"/>
      <c r="Q10" s="303"/>
      <c r="R10" s="303"/>
      <c r="S10" s="303"/>
      <c r="T10" s="303"/>
      <c r="U10" s="303"/>
      <c r="V10" s="303"/>
    </row>
    <row r="11" spans="1:22" x14ac:dyDescent="0.2">
      <c r="A11" s="303"/>
      <c r="B11" s="303"/>
      <c r="C11" s="303"/>
      <c r="D11" s="303"/>
      <c r="E11" s="303"/>
      <c r="F11" s="303"/>
      <c r="G11" s="303"/>
      <c r="H11" s="303"/>
      <c r="I11" s="303"/>
      <c r="J11" s="303"/>
      <c r="K11" s="303"/>
      <c r="L11" s="303"/>
      <c r="M11" s="303"/>
      <c r="N11" s="303"/>
      <c r="O11" s="303"/>
      <c r="P11" s="303"/>
      <c r="Q11" s="303"/>
      <c r="R11" s="303"/>
      <c r="S11" s="303"/>
      <c r="T11" s="303"/>
      <c r="U11" s="303"/>
      <c r="V11" s="303"/>
    </row>
    <row r="12" spans="1:22" x14ac:dyDescent="0.2">
      <c r="A12" s="303"/>
      <c r="B12" s="303"/>
      <c r="C12" s="303"/>
      <c r="D12" s="303"/>
      <c r="E12" s="303"/>
      <c r="F12" s="303"/>
      <c r="G12" s="303"/>
      <c r="H12" s="303"/>
      <c r="I12" s="303"/>
      <c r="J12" s="303"/>
      <c r="K12" s="303"/>
      <c r="L12" s="303"/>
      <c r="M12" s="303"/>
      <c r="N12" s="303"/>
      <c r="O12" s="303"/>
      <c r="P12" s="303"/>
      <c r="Q12" s="303"/>
      <c r="R12" s="303"/>
      <c r="S12" s="303"/>
      <c r="T12" s="303"/>
      <c r="U12" s="303"/>
      <c r="V12" s="303"/>
    </row>
    <row r="13" spans="1:22" x14ac:dyDescent="0.2">
      <c r="A13" s="303"/>
      <c r="B13" s="303"/>
      <c r="C13" s="303"/>
      <c r="D13" s="303"/>
      <c r="E13" s="303"/>
      <c r="F13" s="303"/>
      <c r="G13" s="303"/>
      <c r="H13" s="303"/>
      <c r="I13" s="303"/>
      <c r="J13" s="303"/>
      <c r="K13" s="303"/>
      <c r="L13" s="303"/>
      <c r="M13" s="303"/>
      <c r="N13" s="303"/>
      <c r="O13" s="303"/>
      <c r="P13" s="303"/>
      <c r="Q13" s="303"/>
      <c r="R13" s="303"/>
      <c r="S13" s="303"/>
      <c r="T13" s="303"/>
      <c r="U13" s="303"/>
      <c r="V13" s="303"/>
    </row>
    <row r="14" spans="1:22" x14ac:dyDescent="0.2">
      <c r="A14" s="303"/>
      <c r="B14" s="303"/>
      <c r="C14" s="303"/>
      <c r="D14" s="303"/>
      <c r="E14" s="303"/>
      <c r="F14" s="303"/>
      <c r="G14" s="303"/>
      <c r="H14" s="303"/>
      <c r="I14" s="303"/>
      <c r="J14" s="303"/>
      <c r="K14" s="303"/>
      <c r="L14" s="303"/>
      <c r="M14" s="303"/>
      <c r="N14" s="303"/>
      <c r="O14" s="303"/>
      <c r="P14" s="303"/>
      <c r="Q14" s="303"/>
      <c r="R14" s="303"/>
      <c r="S14" s="303"/>
      <c r="T14" s="303"/>
      <c r="U14" s="303"/>
      <c r="V14" s="303"/>
    </row>
    <row r="15" spans="1:22" x14ac:dyDescent="0.2">
      <c r="A15" s="303"/>
      <c r="B15" s="303"/>
      <c r="C15" s="303"/>
      <c r="D15" s="303"/>
      <c r="E15" s="303"/>
      <c r="F15" s="303"/>
      <c r="G15" s="303"/>
      <c r="H15" s="303"/>
      <c r="I15" s="303"/>
      <c r="J15" s="303"/>
      <c r="K15" s="303"/>
      <c r="L15" s="303"/>
      <c r="M15" s="303"/>
      <c r="N15" s="303"/>
      <c r="O15" s="303"/>
      <c r="P15" s="303"/>
      <c r="Q15" s="303"/>
      <c r="R15" s="303"/>
      <c r="S15" s="303"/>
      <c r="T15" s="303"/>
      <c r="U15" s="303"/>
      <c r="V15" s="303"/>
    </row>
    <row r="16" spans="1:22" x14ac:dyDescent="0.2">
      <c r="A16" s="303"/>
      <c r="B16" s="303"/>
      <c r="C16" s="303"/>
      <c r="D16" s="303"/>
      <c r="E16" s="303"/>
      <c r="F16" s="303"/>
      <c r="G16" s="303"/>
      <c r="H16" s="303"/>
      <c r="I16" s="303"/>
      <c r="J16" s="303"/>
      <c r="K16" s="303"/>
      <c r="L16" s="303"/>
      <c r="M16" s="303"/>
      <c r="N16" s="303"/>
      <c r="O16" s="303"/>
      <c r="P16" s="303"/>
      <c r="Q16" s="303"/>
      <c r="R16" s="303"/>
      <c r="S16" s="303"/>
      <c r="T16" s="303"/>
      <c r="U16" s="303"/>
      <c r="V16" s="303"/>
    </row>
    <row r="17" spans="1:22" x14ac:dyDescent="0.2">
      <c r="A17" s="303"/>
      <c r="B17" s="303"/>
      <c r="C17" s="303"/>
      <c r="D17" s="303"/>
      <c r="E17" s="303"/>
      <c r="F17" s="303"/>
      <c r="G17" s="303"/>
      <c r="H17" s="303"/>
      <c r="I17" s="303"/>
      <c r="J17" s="303"/>
      <c r="K17" s="303"/>
      <c r="L17" s="303"/>
      <c r="M17" s="303"/>
      <c r="N17" s="303"/>
      <c r="O17" s="303"/>
      <c r="P17" s="303"/>
      <c r="Q17" s="303"/>
      <c r="R17" s="303"/>
      <c r="S17" s="303"/>
      <c r="T17" s="303"/>
      <c r="U17" s="303"/>
      <c r="V17" s="303"/>
    </row>
    <row r="18" spans="1:22" x14ac:dyDescent="0.2">
      <c r="A18" s="303"/>
      <c r="B18" s="303"/>
      <c r="C18" s="303"/>
      <c r="D18" s="303"/>
      <c r="E18" s="303"/>
      <c r="F18" s="303"/>
      <c r="G18" s="303"/>
      <c r="H18" s="303"/>
      <c r="I18" s="303"/>
      <c r="J18" s="303"/>
      <c r="K18" s="303"/>
      <c r="L18" s="303"/>
      <c r="M18" s="303"/>
      <c r="N18" s="303"/>
      <c r="O18" s="303"/>
      <c r="P18" s="303"/>
      <c r="Q18" s="303"/>
      <c r="R18" s="303"/>
      <c r="S18" s="303"/>
      <c r="T18" s="303"/>
      <c r="U18" s="303"/>
      <c r="V18" s="303"/>
    </row>
    <row r="19" spans="1:22" x14ac:dyDescent="0.2">
      <c r="A19" s="303"/>
      <c r="B19" s="303"/>
      <c r="C19" s="303"/>
      <c r="D19" s="303"/>
      <c r="E19" s="303"/>
      <c r="F19" s="303"/>
      <c r="G19" s="303"/>
      <c r="H19" s="303"/>
      <c r="I19" s="303"/>
      <c r="J19" s="303"/>
      <c r="K19" s="303"/>
      <c r="L19" s="303"/>
      <c r="M19" s="303"/>
      <c r="N19" s="303"/>
      <c r="O19" s="303"/>
      <c r="P19" s="303"/>
      <c r="Q19" s="303"/>
      <c r="R19" s="303"/>
      <c r="S19" s="303"/>
      <c r="T19" s="303"/>
      <c r="U19" s="303"/>
      <c r="V19" s="303"/>
    </row>
    <row r="20" spans="1:22" x14ac:dyDescent="0.2">
      <c r="A20" s="303"/>
      <c r="B20" s="303"/>
      <c r="C20" s="303"/>
      <c r="D20" s="303"/>
      <c r="E20" s="303"/>
      <c r="F20" s="303"/>
      <c r="G20" s="303"/>
      <c r="H20" s="303"/>
      <c r="I20" s="303"/>
      <c r="J20" s="303"/>
      <c r="K20" s="303"/>
      <c r="L20" s="303"/>
      <c r="M20" s="303"/>
      <c r="N20" s="303"/>
      <c r="O20" s="303"/>
      <c r="P20" s="303"/>
      <c r="Q20" s="303"/>
      <c r="R20" s="303"/>
      <c r="S20" s="303"/>
      <c r="T20" s="303"/>
      <c r="U20" s="303"/>
      <c r="V20" s="303"/>
    </row>
    <row r="21" spans="1:22" x14ac:dyDescent="0.2">
      <c r="A21" s="303"/>
      <c r="B21" s="303"/>
      <c r="C21" s="303"/>
      <c r="D21" s="303"/>
      <c r="E21" s="303"/>
      <c r="F21" s="303"/>
      <c r="G21" s="303"/>
      <c r="H21" s="303"/>
      <c r="I21" s="303"/>
      <c r="J21" s="303"/>
      <c r="K21" s="303"/>
      <c r="L21" s="303"/>
      <c r="M21" s="303"/>
      <c r="N21" s="303"/>
      <c r="O21" s="303"/>
      <c r="P21" s="303"/>
      <c r="Q21" s="303"/>
      <c r="R21" s="303"/>
      <c r="S21" s="303"/>
      <c r="T21" s="303"/>
      <c r="U21" s="303"/>
      <c r="V21" s="303"/>
    </row>
    <row r="22" spans="1:22" x14ac:dyDescent="0.2">
      <c r="A22" s="303"/>
      <c r="B22" s="303"/>
      <c r="C22" s="303"/>
      <c r="D22" s="303"/>
      <c r="E22" s="303"/>
      <c r="F22" s="303"/>
      <c r="G22" s="303"/>
      <c r="H22" s="303"/>
      <c r="I22" s="303"/>
      <c r="J22" s="303"/>
      <c r="K22" s="303"/>
      <c r="L22" s="303"/>
      <c r="M22" s="303"/>
      <c r="N22" s="303"/>
      <c r="O22" s="303"/>
      <c r="P22" s="303"/>
      <c r="Q22" s="303"/>
      <c r="R22" s="303"/>
      <c r="S22" s="303"/>
      <c r="T22" s="303"/>
      <c r="U22" s="303"/>
      <c r="V22" s="303"/>
    </row>
    <row r="23" spans="1:22" x14ac:dyDescent="0.2">
      <c r="A23" s="303"/>
      <c r="B23" s="303"/>
      <c r="C23" s="303"/>
      <c r="D23" s="303"/>
      <c r="E23" s="303"/>
      <c r="F23" s="303"/>
      <c r="G23" s="303"/>
      <c r="H23" s="303"/>
      <c r="I23" s="303"/>
      <c r="J23" s="303"/>
      <c r="K23" s="303"/>
      <c r="L23" s="303"/>
      <c r="M23" s="303"/>
      <c r="N23" s="303"/>
      <c r="O23" s="303"/>
      <c r="P23" s="303"/>
      <c r="Q23" s="303"/>
      <c r="R23" s="303"/>
      <c r="S23" s="303"/>
      <c r="T23" s="303"/>
      <c r="U23" s="303"/>
      <c r="V23" s="303"/>
    </row>
    <row r="24" spans="1:22" x14ac:dyDescent="0.2">
      <c r="A24" s="303"/>
      <c r="B24" s="303"/>
      <c r="C24" s="303"/>
      <c r="D24" s="303"/>
      <c r="E24" s="303"/>
      <c r="F24" s="303"/>
      <c r="G24" s="303"/>
      <c r="H24" s="303"/>
      <c r="I24" s="303"/>
      <c r="J24" s="303"/>
      <c r="K24" s="303"/>
      <c r="L24" s="303"/>
      <c r="M24" s="303"/>
      <c r="N24" s="303"/>
      <c r="O24" s="303"/>
      <c r="P24" s="303"/>
      <c r="Q24" s="303"/>
      <c r="R24" s="303"/>
      <c r="S24" s="303"/>
      <c r="T24" s="303"/>
      <c r="U24" s="303"/>
      <c r="V24" s="303"/>
    </row>
    <row r="25" spans="1:22" x14ac:dyDescent="0.2">
      <c r="A25" s="303"/>
      <c r="B25" s="303"/>
      <c r="C25" s="303"/>
      <c r="D25" s="303"/>
      <c r="E25" s="303"/>
      <c r="F25" s="303"/>
      <c r="G25" s="303"/>
      <c r="H25" s="303"/>
      <c r="I25" s="303"/>
      <c r="J25" s="303"/>
      <c r="K25" s="303"/>
      <c r="L25" s="303"/>
      <c r="M25" s="303"/>
      <c r="N25" s="303"/>
      <c r="O25" s="303"/>
      <c r="P25" s="303"/>
      <c r="Q25" s="303"/>
      <c r="R25" s="303"/>
      <c r="S25" s="303"/>
      <c r="T25" s="303"/>
      <c r="U25" s="303"/>
      <c r="V25" s="303"/>
    </row>
    <row r="26" spans="1:22" x14ac:dyDescent="0.2">
      <c r="A26" s="303"/>
      <c r="B26" s="303"/>
      <c r="C26" s="303"/>
      <c r="D26" s="303"/>
      <c r="E26" s="303"/>
      <c r="F26" s="303"/>
      <c r="G26" s="303"/>
      <c r="H26" s="303"/>
      <c r="I26" s="303"/>
      <c r="J26" s="303"/>
      <c r="K26" s="303"/>
      <c r="L26" s="303"/>
      <c r="M26" s="303"/>
      <c r="N26" s="303"/>
      <c r="O26" s="303"/>
      <c r="P26" s="303"/>
      <c r="Q26" s="303"/>
      <c r="R26" s="303"/>
      <c r="S26" s="303"/>
      <c r="T26" s="303"/>
      <c r="U26" s="303"/>
      <c r="V26" s="303"/>
    </row>
    <row r="27" spans="1:22" x14ac:dyDescent="0.2">
      <c r="A27" s="303"/>
      <c r="B27" s="303"/>
      <c r="C27" s="303"/>
      <c r="D27" s="303"/>
      <c r="E27" s="303"/>
      <c r="F27" s="303"/>
      <c r="G27" s="303"/>
      <c r="H27" s="303"/>
      <c r="I27" s="303"/>
      <c r="J27" s="303"/>
      <c r="K27" s="303"/>
      <c r="L27" s="303"/>
      <c r="M27" s="303"/>
      <c r="N27" s="303"/>
      <c r="O27" s="303"/>
      <c r="P27" s="303"/>
      <c r="Q27" s="303"/>
      <c r="R27" s="303"/>
      <c r="S27" s="303"/>
      <c r="T27" s="303"/>
      <c r="U27" s="303"/>
      <c r="V27" s="303"/>
    </row>
    <row r="28" spans="1:22" x14ac:dyDescent="0.2">
      <c r="A28" s="303"/>
      <c r="B28" s="303"/>
      <c r="C28" s="303"/>
      <c r="D28" s="303"/>
      <c r="E28" s="303"/>
      <c r="F28" s="303"/>
      <c r="G28" s="303"/>
      <c r="H28" s="303"/>
      <c r="I28" s="303"/>
      <c r="J28" s="303"/>
      <c r="K28" s="303"/>
      <c r="L28" s="303"/>
      <c r="M28" s="303"/>
      <c r="N28" s="303"/>
      <c r="O28" s="303"/>
      <c r="P28" s="303"/>
      <c r="Q28" s="303"/>
      <c r="R28" s="303"/>
      <c r="S28" s="303"/>
      <c r="T28" s="303"/>
      <c r="U28" s="303"/>
      <c r="V28" s="303"/>
    </row>
    <row r="29" spans="1:22" x14ac:dyDescent="0.2">
      <c r="A29" s="303"/>
      <c r="B29" s="303"/>
      <c r="C29" s="303"/>
      <c r="D29" s="303"/>
      <c r="E29" s="303"/>
      <c r="F29" s="303"/>
      <c r="G29" s="303"/>
      <c r="H29" s="303"/>
      <c r="I29" s="303"/>
      <c r="J29" s="303"/>
      <c r="K29" s="303"/>
      <c r="L29" s="303"/>
      <c r="M29" s="303"/>
      <c r="N29" s="303"/>
      <c r="O29" s="303"/>
      <c r="P29" s="303"/>
      <c r="Q29" s="303"/>
      <c r="R29" s="303"/>
      <c r="S29" s="303"/>
      <c r="T29" s="303"/>
      <c r="U29" s="303"/>
      <c r="V29" s="303"/>
    </row>
    <row r="30" spans="1:22" x14ac:dyDescent="0.2">
      <c r="A30" s="303"/>
      <c r="B30" s="303"/>
      <c r="C30" s="303"/>
      <c r="D30" s="303"/>
      <c r="E30" s="303"/>
      <c r="F30" s="303"/>
      <c r="G30" s="303"/>
      <c r="H30" s="303"/>
      <c r="I30" s="303"/>
      <c r="J30" s="303"/>
      <c r="K30" s="303"/>
      <c r="L30" s="303"/>
      <c r="M30" s="303"/>
      <c r="N30" s="303"/>
      <c r="O30" s="303"/>
      <c r="P30" s="303"/>
      <c r="Q30" s="303"/>
      <c r="R30" s="303"/>
      <c r="S30" s="303"/>
      <c r="T30" s="303"/>
      <c r="U30" s="303"/>
      <c r="V30" s="303"/>
    </row>
    <row r="31" spans="1:22" x14ac:dyDescent="0.2">
      <c r="A31" s="303"/>
      <c r="B31" s="303"/>
      <c r="C31" s="303"/>
      <c r="D31" s="303"/>
      <c r="E31" s="303"/>
      <c r="F31" s="303"/>
      <c r="G31" s="303"/>
      <c r="H31" s="303"/>
      <c r="I31" s="303"/>
      <c r="J31" s="303"/>
      <c r="K31" s="303"/>
      <c r="L31" s="303"/>
      <c r="M31" s="303"/>
      <c r="N31" s="303"/>
      <c r="O31" s="303"/>
      <c r="P31" s="303"/>
      <c r="Q31" s="303"/>
      <c r="R31" s="303"/>
      <c r="S31" s="303"/>
      <c r="T31" s="303"/>
      <c r="U31" s="303"/>
      <c r="V31" s="303"/>
    </row>
    <row r="32" spans="1:22" x14ac:dyDescent="0.2">
      <c r="A32" s="303"/>
      <c r="B32" s="303"/>
      <c r="C32" s="303"/>
      <c r="D32" s="303"/>
      <c r="E32" s="303"/>
      <c r="F32" s="303"/>
      <c r="G32" s="303"/>
      <c r="H32" s="303"/>
      <c r="I32" s="303"/>
      <c r="J32" s="303"/>
      <c r="K32" s="303"/>
      <c r="L32" s="303"/>
      <c r="M32" s="303"/>
      <c r="N32" s="303"/>
      <c r="O32" s="303"/>
      <c r="P32" s="303"/>
      <c r="Q32" s="303"/>
      <c r="R32" s="303"/>
      <c r="S32" s="303"/>
      <c r="T32" s="303"/>
      <c r="U32" s="303"/>
      <c r="V32" s="303"/>
    </row>
    <row r="33" spans="1:22" x14ac:dyDescent="0.2">
      <c r="A33" s="303"/>
      <c r="B33" s="303"/>
      <c r="C33" s="303"/>
      <c r="D33" s="303"/>
      <c r="E33" s="303"/>
      <c r="F33" s="303"/>
      <c r="G33" s="303"/>
      <c r="H33" s="303"/>
      <c r="I33" s="303"/>
      <c r="J33" s="303"/>
      <c r="K33" s="303"/>
      <c r="L33" s="303"/>
      <c r="M33" s="303"/>
      <c r="N33" s="303"/>
      <c r="O33" s="303"/>
      <c r="P33" s="303"/>
      <c r="Q33" s="303"/>
      <c r="R33" s="303"/>
      <c r="S33" s="303"/>
      <c r="T33" s="303"/>
      <c r="U33" s="303"/>
      <c r="V33" s="303"/>
    </row>
    <row r="34" spans="1:22" x14ac:dyDescent="0.2">
      <c r="A34" s="303"/>
      <c r="B34" s="303"/>
      <c r="C34" s="303"/>
      <c r="D34" s="303"/>
      <c r="E34" s="303"/>
      <c r="F34" s="303"/>
      <c r="G34" s="303"/>
      <c r="H34" s="303"/>
      <c r="I34" s="303"/>
      <c r="J34" s="303"/>
      <c r="K34" s="303"/>
      <c r="L34" s="303"/>
      <c r="M34" s="303"/>
      <c r="N34" s="303"/>
      <c r="O34" s="303"/>
      <c r="P34" s="303"/>
      <c r="Q34" s="303"/>
      <c r="R34" s="303"/>
      <c r="S34" s="303"/>
      <c r="T34" s="303"/>
      <c r="U34" s="303"/>
      <c r="V34" s="303"/>
    </row>
    <row r="35" spans="1:22" x14ac:dyDescent="0.2">
      <c r="A35" s="303"/>
      <c r="B35" s="303"/>
      <c r="C35" s="303"/>
      <c r="D35" s="303"/>
      <c r="E35" s="303"/>
      <c r="F35" s="303"/>
      <c r="G35" s="303"/>
      <c r="H35" s="303"/>
      <c r="I35" s="303"/>
      <c r="J35" s="303"/>
      <c r="K35" s="303"/>
      <c r="L35" s="303"/>
      <c r="M35" s="303"/>
      <c r="N35" s="303"/>
      <c r="O35" s="303"/>
      <c r="P35" s="303"/>
      <c r="Q35" s="303"/>
      <c r="R35" s="303"/>
      <c r="S35" s="303"/>
      <c r="T35" s="303"/>
      <c r="U35" s="303"/>
      <c r="V35" s="303"/>
    </row>
    <row r="36" spans="1:22" x14ac:dyDescent="0.2">
      <c r="A36" s="303"/>
      <c r="B36" s="303"/>
      <c r="C36" s="303"/>
      <c r="D36" s="303"/>
      <c r="E36" s="303"/>
      <c r="F36" s="303"/>
      <c r="G36" s="303"/>
      <c r="H36" s="303"/>
      <c r="I36" s="303"/>
      <c r="J36" s="303"/>
      <c r="K36" s="303"/>
      <c r="L36" s="303"/>
      <c r="M36" s="303"/>
      <c r="N36" s="303"/>
      <c r="O36" s="303"/>
      <c r="P36" s="303"/>
      <c r="Q36" s="303"/>
      <c r="R36" s="303"/>
      <c r="S36" s="303"/>
      <c r="T36" s="303"/>
      <c r="U36" s="303"/>
      <c r="V36" s="303"/>
    </row>
    <row r="37" spans="1:22" x14ac:dyDescent="0.2">
      <c r="A37" s="303"/>
      <c r="B37" s="303"/>
      <c r="C37" s="303"/>
      <c r="D37" s="303"/>
      <c r="E37" s="303"/>
      <c r="F37" s="303"/>
      <c r="G37" s="303"/>
      <c r="H37" s="303"/>
      <c r="I37" s="303"/>
      <c r="J37" s="303"/>
      <c r="K37" s="303"/>
      <c r="L37" s="303"/>
      <c r="M37" s="303"/>
      <c r="N37" s="303"/>
      <c r="O37" s="303"/>
      <c r="P37" s="303"/>
      <c r="Q37" s="303"/>
      <c r="R37" s="303"/>
      <c r="S37" s="303"/>
      <c r="T37" s="303"/>
      <c r="U37" s="303"/>
      <c r="V37" s="303"/>
    </row>
    <row r="38" spans="1:22" x14ac:dyDescent="0.2">
      <c r="A38" s="303"/>
      <c r="B38" s="303"/>
      <c r="C38" s="303"/>
      <c r="D38" s="303"/>
      <c r="E38" s="303"/>
      <c r="F38" s="303"/>
      <c r="G38" s="303"/>
      <c r="H38" s="303"/>
      <c r="I38" s="303"/>
      <c r="J38" s="303"/>
      <c r="K38" s="303"/>
      <c r="L38" s="303"/>
      <c r="M38" s="303"/>
      <c r="N38" s="303"/>
      <c r="O38" s="303"/>
      <c r="P38" s="303"/>
      <c r="Q38" s="303"/>
      <c r="R38" s="303"/>
      <c r="S38" s="303"/>
      <c r="T38" s="303"/>
      <c r="U38" s="303"/>
      <c r="V38" s="303"/>
    </row>
    <row r="39" spans="1:22" x14ac:dyDescent="0.2">
      <c r="A39" s="303"/>
      <c r="B39" s="303"/>
      <c r="C39" s="303"/>
      <c r="D39" s="303"/>
      <c r="E39" s="303"/>
      <c r="F39" s="303"/>
      <c r="G39" s="303"/>
      <c r="H39" s="303"/>
      <c r="I39" s="303"/>
      <c r="J39" s="303"/>
      <c r="K39" s="303"/>
      <c r="L39" s="303"/>
      <c r="M39" s="303"/>
      <c r="N39" s="303"/>
      <c r="O39" s="303"/>
      <c r="P39" s="303"/>
      <c r="Q39" s="303"/>
      <c r="R39" s="303"/>
      <c r="S39" s="303"/>
      <c r="T39" s="303"/>
      <c r="U39" s="303"/>
      <c r="V39" s="303"/>
    </row>
    <row r="40" spans="1:22" x14ac:dyDescent="0.2">
      <c r="A40" s="303"/>
      <c r="B40" s="303"/>
      <c r="C40" s="303"/>
      <c r="D40" s="303"/>
      <c r="E40" s="303"/>
      <c r="F40" s="303"/>
      <c r="G40" s="303"/>
      <c r="H40" s="303"/>
      <c r="I40" s="303"/>
      <c r="J40" s="303"/>
      <c r="K40" s="303"/>
      <c r="L40" s="303"/>
      <c r="M40" s="303"/>
      <c r="N40" s="303"/>
      <c r="O40" s="303"/>
      <c r="P40" s="303"/>
      <c r="Q40" s="303"/>
      <c r="R40" s="303"/>
      <c r="S40" s="303"/>
      <c r="T40" s="303"/>
      <c r="U40" s="303"/>
      <c r="V40" s="303"/>
    </row>
    <row r="41" spans="1:22" x14ac:dyDescent="0.2">
      <c r="A41" s="303"/>
      <c r="B41" s="303"/>
      <c r="C41" s="303"/>
      <c r="D41" s="303"/>
      <c r="E41" s="303"/>
      <c r="F41" s="303"/>
      <c r="G41" s="303"/>
      <c r="H41" s="303"/>
      <c r="I41" s="303"/>
      <c r="J41" s="303"/>
      <c r="K41" s="303"/>
      <c r="L41" s="303"/>
      <c r="M41" s="303"/>
      <c r="N41" s="303"/>
      <c r="O41" s="303"/>
      <c r="P41" s="303"/>
      <c r="Q41" s="303"/>
      <c r="R41" s="303"/>
      <c r="S41" s="303"/>
      <c r="T41" s="303"/>
      <c r="U41" s="303"/>
      <c r="V41" s="303"/>
    </row>
    <row r="42" spans="1:22" x14ac:dyDescent="0.2">
      <c r="A42" s="303"/>
      <c r="B42" s="303"/>
      <c r="C42" s="303"/>
      <c r="D42" s="303"/>
      <c r="E42" s="303"/>
      <c r="F42" s="303"/>
      <c r="G42" s="303"/>
      <c r="H42" s="303"/>
      <c r="I42" s="303"/>
      <c r="J42" s="303"/>
      <c r="K42" s="303"/>
      <c r="L42" s="303"/>
      <c r="M42" s="303"/>
      <c r="N42" s="303"/>
      <c r="O42" s="303"/>
      <c r="P42" s="303"/>
      <c r="Q42" s="303"/>
      <c r="R42" s="303"/>
      <c r="S42" s="303"/>
      <c r="T42" s="303"/>
      <c r="U42" s="303"/>
      <c r="V42" s="303"/>
    </row>
    <row r="43" spans="1:22" x14ac:dyDescent="0.2">
      <c r="A43" s="303"/>
      <c r="B43" s="303"/>
      <c r="C43" s="303"/>
      <c r="D43" s="303"/>
      <c r="E43" s="303"/>
      <c r="F43" s="303"/>
      <c r="G43" s="303"/>
      <c r="H43" s="303"/>
      <c r="I43" s="303"/>
      <c r="J43" s="303"/>
      <c r="K43" s="303"/>
      <c r="L43" s="303"/>
      <c r="M43" s="303"/>
      <c r="N43" s="303"/>
      <c r="O43" s="303"/>
      <c r="P43" s="303"/>
      <c r="Q43" s="303"/>
      <c r="R43" s="303"/>
      <c r="S43" s="303"/>
      <c r="T43" s="303"/>
      <c r="U43" s="303"/>
      <c r="V43" s="303"/>
    </row>
    <row r="44" spans="1:22" x14ac:dyDescent="0.2">
      <c r="A44" s="303"/>
      <c r="B44" s="303"/>
      <c r="C44" s="303"/>
      <c r="D44" s="303"/>
      <c r="E44" s="303"/>
      <c r="F44" s="303"/>
      <c r="G44" s="303"/>
      <c r="H44" s="303"/>
      <c r="I44" s="303"/>
      <c r="J44" s="303"/>
      <c r="K44" s="303"/>
      <c r="L44" s="303"/>
      <c r="M44" s="303"/>
      <c r="N44" s="303"/>
      <c r="O44" s="303"/>
      <c r="P44" s="303"/>
      <c r="Q44" s="303"/>
      <c r="R44" s="303"/>
      <c r="S44" s="303"/>
      <c r="T44" s="303"/>
      <c r="U44" s="303"/>
      <c r="V44" s="303"/>
    </row>
    <row r="45" spans="1:22" x14ac:dyDescent="0.2">
      <c r="A45" s="303"/>
      <c r="B45" s="303"/>
      <c r="C45" s="303"/>
      <c r="D45" s="303"/>
      <c r="E45" s="303"/>
      <c r="F45" s="303"/>
      <c r="G45" s="303"/>
      <c r="H45" s="303"/>
      <c r="I45" s="303"/>
      <c r="J45" s="303"/>
      <c r="K45" s="303"/>
      <c r="L45" s="303"/>
      <c r="M45" s="303"/>
      <c r="N45" s="303"/>
      <c r="O45" s="303"/>
      <c r="P45" s="303"/>
      <c r="Q45" s="303"/>
      <c r="R45" s="303"/>
      <c r="S45" s="303"/>
      <c r="T45" s="303"/>
      <c r="U45" s="303"/>
      <c r="V45" s="303"/>
    </row>
    <row r="46" spans="1:22" x14ac:dyDescent="0.2">
      <c r="A46" s="303"/>
      <c r="B46" s="303"/>
      <c r="C46" s="303"/>
      <c r="D46" s="303"/>
      <c r="E46" s="303"/>
      <c r="F46" s="303"/>
      <c r="G46" s="303"/>
      <c r="H46" s="303"/>
      <c r="I46" s="303"/>
      <c r="J46" s="303"/>
      <c r="K46" s="303"/>
      <c r="L46" s="303"/>
      <c r="M46" s="303"/>
      <c r="N46" s="303"/>
      <c r="O46" s="303"/>
      <c r="P46" s="303"/>
      <c r="Q46" s="303"/>
      <c r="R46" s="303"/>
      <c r="S46" s="303"/>
      <c r="T46" s="303"/>
      <c r="U46" s="303"/>
      <c r="V46" s="303"/>
    </row>
    <row r="47" spans="1:22" x14ac:dyDescent="0.2">
      <c r="A47" s="303"/>
      <c r="B47" s="303"/>
      <c r="C47" s="303"/>
      <c r="D47" s="303"/>
      <c r="E47" s="303"/>
      <c r="F47" s="303"/>
      <c r="G47" s="303"/>
      <c r="H47" s="303"/>
      <c r="I47" s="303"/>
      <c r="J47" s="303"/>
      <c r="K47" s="303"/>
      <c r="L47" s="303"/>
      <c r="M47" s="303"/>
      <c r="N47" s="303"/>
      <c r="O47" s="303"/>
      <c r="P47" s="303"/>
      <c r="Q47" s="303"/>
      <c r="R47" s="303"/>
      <c r="S47" s="303"/>
      <c r="T47" s="303"/>
      <c r="U47" s="303"/>
      <c r="V47" s="303"/>
    </row>
    <row r="48" spans="1:22" x14ac:dyDescent="0.2">
      <c r="A48" s="303"/>
      <c r="B48" s="303"/>
      <c r="C48" s="303"/>
      <c r="D48" s="303"/>
      <c r="E48" s="303"/>
      <c r="F48" s="303"/>
      <c r="G48" s="303"/>
      <c r="H48" s="303"/>
      <c r="I48" s="303"/>
      <c r="J48" s="303"/>
      <c r="K48" s="303"/>
      <c r="L48" s="303"/>
      <c r="M48" s="303"/>
      <c r="N48" s="303"/>
      <c r="O48" s="303"/>
      <c r="P48" s="303"/>
      <c r="Q48" s="303"/>
      <c r="R48" s="303"/>
      <c r="S48" s="303"/>
      <c r="T48" s="303"/>
      <c r="U48" s="303"/>
      <c r="V48" s="303"/>
    </row>
    <row r="49" spans="1:22" x14ac:dyDescent="0.2">
      <c r="A49" s="303"/>
      <c r="B49" s="303"/>
      <c r="C49" s="303"/>
      <c r="D49" s="303"/>
      <c r="E49" s="303"/>
      <c r="F49" s="303"/>
      <c r="G49" s="303"/>
      <c r="H49" s="303"/>
      <c r="I49" s="303"/>
      <c r="J49" s="303"/>
      <c r="K49" s="303"/>
      <c r="L49" s="303"/>
      <c r="M49" s="303"/>
      <c r="N49" s="303"/>
      <c r="O49" s="303"/>
      <c r="P49" s="303"/>
      <c r="Q49" s="303"/>
      <c r="R49" s="303"/>
      <c r="S49" s="303"/>
      <c r="T49" s="303"/>
      <c r="U49" s="303"/>
      <c r="V49" s="303"/>
    </row>
    <row r="50" spans="1:22" x14ac:dyDescent="0.2">
      <c r="A50" s="303"/>
      <c r="B50" s="303"/>
      <c r="C50" s="303"/>
      <c r="D50" s="303"/>
      <c r="E50" s="303"/>
      <c r="F50" s="303"/>
      <c r="G50" s="303"/>
      <c r="H50" s="303"/>
      <c r="I50" s="303"/>
      <c r="J50" s="303"/>
      <c r="K50" s="303"/>
      <c r="L50" s="303"/>
      <c r="M50" s="303"/>
      <c r="N50" s="303"/>
      <c r="O50" s="303"/>
      <c r="P50" s="303"/>
      <c r="Q50" s="303"/>
      <c r="R50" s="303"/>
      <c r="S50" s="303"/>
      <c r="T50" s="303"/>
      <c r="U50" s="303"/>
      <c r="V50" s="303"/>
    </row>
    <row r="51" spans="1:22" x14ac:dyDescent="0.2">
      <c r="A51" s="303"/>
      <c r="B51" s="303"/>
      <c r="C51" s="303"/>
      <c r="D51" s="303"/>
      <c r="E51" s="303"/>
      <c r="F51" s="303"/>
      <c r="G51" s="303"/>
      <c r="H51" s="303"/>
      <c r="I51" s="303"/>
      <c r="J51" s="303"/>
      <c r="K51" s="303"/>
      <c r="L51" s="303"/>
      <c r="M51" s="303"/>
      <c r="N51" s="303"/>
      <c r="O51" s="303"/>
      <c r="P51" s="303"/>
      <c r="Q51" s="303"/>
      <c r="R51" s="303"/>
      <c r="S51" s="303"/>
      <c r="T51" s="303"/>
      <c r="U51" s="303"/>
      <c r="V51" s="303"/>
    </row>
    <row r="52" spans="1:22" x14ac:dyDescent="0.2">
      <c r="A52" s="303"/>
      <c r="B52" s="303"/>
      <c r="C52" s="303"/>
      <c r="D52" s="303"/>
      <c r="E52" s="303"/>
      <c r="F52" s="303"/>
      <c r="G52" s="303"/>
      <c r="H52" s="303"/>
      <c r="I52" s="303"/>
      <c r="J52" s="303"/>
      <c r="K52" s="303"/>
      <c r="L52" s="303"/>
      <c r="M52" s="303"/>
      <c r="N52" s="303"/>
      <c r="O52" s="303"/>
      <c r="P52" s="303"/>
      <c r="Q52" s="303"/>
      <c r="R52" s="303"/>
      <c r="S52" s="303"/>
      <c r="T52" s="303"/>
      <c r="U52" s="303"/>
      <c r="V52" s="303"/>
    </row>
    <row r="53" spans="1:22" x14ac:dyDescent="0.2">
      <c r="A53" s="303"/>
      <c r="B53" s="303"/>
      <c r="C53" s="303"/>
      <c r="D53" s="303"/>
      <c r="E53" s="303"/>
      <c r="F53" s="303"/>
      <c r="G53" s="303"/>
      <c r="H53" s="303"/>
      <c r="I53" s="303"/>
      <c r="J53" s="303"/>
      <c r="K53" s="303"/>
      <c r="L53" s="303"/>
      <c r="M53" s="303"/>
      <c r="N53" s="303"/>
      <c r="O53" s="303"/>
      <c r="P53" s="303"/>
      <c r="Q53" s="303"/>
      <c r="R53" s="303"/>
      <c r="S53" s="303"/>
      <c r="T53" s="303"/>
      <c r="U53" s="303"/>
      <c r="V53" s="303"/>
    </row>
    <row r="54" spans="1:22" x14ac:dyDescent="0.2">
      <c r="A54" s="303"/>
      <c r="B54" s="303"/>
      <c r="C54" s="303"/>
      <c r="D54" s="303"/>
      <c r="E54" s="303"/>
      <c r="F54" s="303"/>
      <c r="G54" s="303"/>
      <c r="H54" s="303"/>
      <c r="I54" s="303"/>
      <c r="J54" s="303"/>
      <c r="K54" s="303"/>
      <c r="L54" s="303"/>
      <c r="M54" s="303"/>
      <c r="N54" s="303"/>
      <c r="O54" s="303"/>
      <c r="P54" s="303"/>
      <c r="Q54" s="303"/>
      <c r="R54" s="303"/>
      <c r="S54" s="303"/>
      <c r="T54" s="303"/>
      <c r="U54" s="303"/>
      <c r="V54" s="303"/>
    </row>
    <row r="55" spans="1:22" x14ac:dyDescent="0.2">
      <c r="A55" s="303"/>
      <c r="B55" s="303"/>
      <c r="C55" s="303"/>
      <c r="D55" s="303"/>
      <c r="E55" s="303"/>
      <c r="F55" s="303"/>
      <c r="G55" s="303"/>
      <c r="H55" s="303"/>
      <c r="I55" s="303"/>
      <c r="J55" s="303"/>
      <c r="K55" s="303"/>
      <c r="L55" s="303"/>
      <c r="M55" s="303"/>
      <c r="N55" s="303"/>
      <c r="O55" s="303"/>
      <c r="P55" s="303"/>
      <c r="Q55" s="303"/>
      <c r="R55" s="303"/>
      <c r="S55" s="303"/>
      <c r="T55" s="303"/>
      <c r="U55" s="303"/>
      <c r="V55" s="303"/>
    </row>
    <row r="56" spans="1:22" x14ac:dyDescent="0.2">
      <c r="A56" s="303"/>
      <c r="B56" s="303"/>
      <c r="C56" s="303"/>
      <c r="D56" s="303"/>
      <c r="E56" s="303"/>
      <c r="F56" s="303"/>
      <c r="G56" s="303"/>
      <c r="H56" s="303"/>
      <c r="I56" s="303"/>
      <c r="J56" s="303"/>
      <c r="K56" s="303"/>
      <c r="L56" s="303"/>
      <c r="M56" s="303"/>
      <c r="N56" s="303"/>
      <c r="O56" s="303"/>
      <c r="P56" s="303"/>
      <c r="Q56" s="303"/>
      <c r="R56" s="303"/>
      <c r="S56" s="303"/>
      <c r="T56" s="303"/>
      <c r="U56" s="303"/>
      <c r="V56" s="303"/>
    </row>
    <row r="57" spans="1:22" x14ac:dyDescent="0.2">
      <c r="A57" s="303"/>
      <c r="B57" s="303"/>
      <c r="C57" s="303"/>
      <c r="D57" s="303"/>
      <c r="E57" s="303"/>
      <c r="F57" s="303"/>
      <c r="G57" s="303"/>
      <c r="H57" s="303"/>
      <c r="I57" s="303"/>
      <c r="J57" s="303"/>
      <c r="K57" s="303"/>
      <c r="L57" s="303"/>
      <c r="M57" s="303"/>
      <c r="N57" s="303"/>
      <c r="O57" s="303"/>
      <c r="P57" s="303"/>
      <c r="Q57" s="303"/>
      <c r="R57" s="303"/>
      <c r="S57" s="303"/>
      <c r="T57" s="303"/>
      <c r="U57" s="303"/>
      <c r="V57" s="303"/>
    </row>
    <row r="58" spans="1:22" x14ac:dyDescent="0.2">
      <c r="A58" s="303"/>
      <c r="B58" s="303"/>
      <c r="C58" s="303"/>
      <c r="D58" s="303"/>
      <c r="E58" s="303"/>
      <c r="F58" s="303"/>
      <c r="G58" s="303"/>
      <c r="H58" s="303"/>
      <c r="I58" s="303"/>
      <c r="J58" s="303"/>
      <c r="K58" s="303"/>
      <c r="L58" s="303"/>
      <c r="M58" s="303"/>
      <c r="N58" s="303"/>
      <c r="O58" s="303"/>
      <c r="P58" s="303"/>
      <c r="Q58" s="303"/>
      <c r="R58" s="303"/>
      <c r="S58" s="303"/>
      <c r="T58" s="303"/>
      <c r="U58" s="303"/>
      <c r="V58" s="303"/>
    </row>
    <row r="59" spans="1:22" x14ac:dyDescent="0.2">
      <c r="A59" s="303"/>
      <c r="B59" s="303"/>
      <c r="C59" s="303"/>
      <c r="D59" s="303"/>
      <c r="E59" s="303"/>
      <c r="F59" s="303"/>
      <c r="G59" s="303"/>
      <c r="H59" s="303"/>
      <c r="I59" s="303"/>
      <c r="J59" s="303"/>
      <c r="K59" s="303"/>
      <c r="L59" s="303"/>
      <c r="M59" s="303"/>
      <c r="N59" s="303"/>
      <c r="O59" s="303"/>
      <c r="P59" s="303"/>
      <c r="Q59" s="303"/>
      <c r="R59" s="303"/>
      <c r="S59" s="303"/>
      <c r="T59" s="303"/>
      <c r="U59" s="303"/>
      <c r="V59" s="303"/>
    </row>
    <row r="60" spans="1:22" x14ac:dyDescent="0.2">
      <c r="A60" s="303"/>
      <c r="B60" s="303"/>
      <c r="C60" s="303"/>
      <c r="D60" s="303"/>
      <c r="E60" s="303"/>
      <c r="F60" s="303"/>
      <c r="G60" s="303"/>
      <c r="H60" s="303"/>
      <c r="I60" s="303"/>
      <c r="J60" s="303"/>
      <c r="K60" s="303"/>
      <c r="L60" s="303"/>
      <c r="M60" s="303"/>
      <c r="N60" s="303"/>
      <c r="O60" s="303"/>
      <c r="P60" s="303"/>
      <c r="Q60" s="303"/>
      <c r="R60" s="303"/>
      <c r="S60" s="303"/>
      <c r="T60" s="303"/>
      <c r="U60" s="303"/>
      <c r="V60" s="303"/>
    </row>
    <row r="61" spans="1:22" x14ac:dyDescent="0.2">
      <c r="A61" s="303"/>
      <c r="B61" s="303"/>
      <c r="C61" s="303"/>
      <c r="D61" s="303"/>
      <c r="E61" s="303"/>
      <c r="F61" s="303"/>
      <c r="G61" s="303"/>
      <c r="H61" s="303"/>
      <c r="I61" s="303"/>
      <c r="J61" s="303"/>
      <c r="K61" s="303"/>
      <c r="L61" s="303"/>
      <c r="M61" s="303"/>
      <c r="N61" s="303"/>
      <c r="O61" s="303"/>
      <c r="P61" s="303"/>
      <c r="Q61" s="303"/>
      <c r="R61" s="303"/>
      <c r="S61" s="303"/>
      <c r="T61" s="303"/>
      <c r="U61" s="303"/>
      <c r="V61" s="303"/>
    </row>
    <row r="62" spans="1:22" x14ac:dyDescent="0.2">
      <c r="A62" s="303"/>
      <c r="B62" s="303"/>
      <c r="C62" s="303"/>
      <c r="D62" s="303"/>
      <c r="E62" s="303"/>
      <c r="F62" s="303"/>
      <c r="G62" s="303"/>
      <c r="H62" s="303"/>
      <c r="I62" s="303"/>
      <c r="J62" s="303"/>
      <c r="K62" s="303"/>
      <c r="L62" s="303"/>
      <c r="M62" s="303"/>
      <c r="N62" s="303"/>
      <c r="O62" s="303"/>
      <c r="P62" s="303"/>
      <c r="Q62" s="303"/>
      <c r="R62" s="303"/>
      <c r="S62" s="303"/>
      <c r="T62" s="303"/>
      <c r="U62" s="303"/>
      <c r="V62" s="303"/>
    </row>
    <row r="63" spans="1:22" x14ac:dyDescent="0.2">
      <c r="A63" s="303"/>
      <c r="B63" s="303"/>
      <c r="C63" s="303"/>
      <c r="D63" s="303"/>
      <c r="E63" s="303"/>
      <c r="F63" s="303"/>
      <c r="G63" s="303"/>
      <c r="H63" s="303"/>
      <c r="I63" s="303"/>
      <c r="J63" s="303"/>
      <c r="K63" s="303"/>
      <c r="L63" s="303"/>
      <c r="M63" s="303"/>
      <c r="N63" s="303"/>
      <c r="O63" s="303"/>
      <c r="P63" s="303"/>
      <c r="Q63" s="303"/>
      <c r="R63" s="303"/>
      <c r="S63" s="303"/>
      <c r="T63" s="303"/>
      <c r="U63" s="303"/>
      <c r="V63" s="303"/>
    </row>
    <row r="64" spans="1:22" x14ac:dyDescent="0.2">
      <c r="A64" s="303"/>
      <c r="B64" s="303"/>
      <c r="C64" s="303"/>
      <c r="D64" s="303"/>
      <c r="E64" s="303"/>
      <c r="F64" s="303"/>
      <c r="G64" s="303"/>
      <c r="H64" s="303"/>
      <c r="I64" s="303"/>
      <c r="J64" s="303"/>
      <c r="K64" s="303"/>
      <c r="L64" s="303"/>
      <c r="M64" s="303"/>
      <c r="N64" s="303"/>
      <c r="O64" s="303"/>
      <c r="P64" s="303"/>
      <c r="Q64" s="303"/>
      <c r="R64" s="303"/>
      <c r="S64" s="303"/>
      <c r="T64" s="303"/>
      <c r="U64" s="303"/>
      <c r="V64" s="303"/>
    </row>
    <row r="65" spans="1:22" x14ac:dyDescent="0.2">
      <c r="A65" s="303"/>
      <c r="B65" s="303"/>
      <c r="C65" s="303"/>
      <c r="D65" s="303"/>
      <c r="E65" s="303"/>
      <c r="F65" s="303"/>
      <c r="G65" s="303"/>
      <c r="H65" s="303"/>
      <c r="I65" s="303"/>
      <c r="J65" s="303"/>
      <c r="K65" s="303"/>
      <c r="L65" s="303"/>
      <c r="M65" s="303"/>
      <c r="N65" s="303"/>
      <c r="O65" s="303"/>
      <c r="P65" s="303"/>
      <c r="Q65" s="303"/>
      <c r="R65" s="303"/>
      <c r="S65" s="303"/>
      <c r="T65" s="303"/>
      <c r="U65" s="303"/>
      <c r="V65" s="303"/>
    </row>
    <row r="66" spans="1:22" x14ac:dyDescent="0.2">
      <c r="A66" s="303"/>
      <c r="B66" s="303"/>
      <c r="C66" s="303"/>
      <c r="D66" s="303"/>
      <c r="E66" s="303"/>
      <c r="F66" s="303"/>
      <c r="G66" s="303"/>
      <c r="H66" s="303"/>
      <c r="I66" s="303"/>
      <c r="J66" s="303"/>
      <c r="K66" s="303"/>
      <c r="L66" s="303"/>
      <c r="M66" s="303"/>
      <c r="N66" s="303"/>
      <c r="O66" s="303"/>
      <c r="P66" s="303"/>
      <c r="Q66" s="303"/>
      <c r="R66" s="303"/>
      <c r="S66" s="303"/>
      <c r="T66" s="303"/>
      <c r="U66" s="303"/>
      <c r="V66" s="303"/>
    </row>
    <row r="67" spans="1:22" x14ac:dyDescent="0.2">
      <c r="A67" s="303"/>
      <c r="B67" s="303"/>
      <c r="C67" s="303"/>
      <c r="D67" s="303"/>
      <c r="E67" s="303"/>
      <c r="F67" s="303"/>
      <c r="G67" s="303"/>
      <c r="H67" s="303"/>
      <c r="I67" s="303"/>
      <c r="J67" s="303"/>
      <c r="K67" s="303"/>
      <c r="L67" s="303"/>
      <c r="M67" s="303"/>
      <c r="N67" s="303"/>
      <c r="O67" s="303"/>
      <c r="P67" s="303"/>
      <c r="Q67" s="303"/>
      <c r="R67" s="303"/>
      <c r="S67" s="303"/>
      <c r="T67" s="303"/>
      <c r="U67" s="303"/>
      <c r="V67" s="303"/>
    </row>
    <row r="68" spans="1:22" x14ac:dyDescent="0.2">
      <c r="A68" s="303"/>
      <c r="B68" s="303"/>
      <c r="C68" s="303"/>
      <c r="D68" s="303"/>
      <c r="E68" s="303"/>
      <c r="F68" s="303"/>
      <c r="G68" s="303"/>
      <c r="H68" s="303"/>
      <c r="I68" s="303"/>
      <c r="J68" s="303"/>
      <c r="K68" s="303"/>
      <c r="L68" s="303"/>
      <c r="M68" s="303"/>
      <c r="N68" s="303"/>
      <c r="O68" s="303"/>
      <c r="P68" s="303"/>
      <c r="Q68" s="303"/>
      <c r="R68" s="303"/>
      <c r="S68" s="303"/>
      <c r="T68" s="303"/>
      <c r="U68" s="303"/>
      <c r="V68" s="303"/>
    </row>
    <row r="69" spans="1:22" x14ac:dyDescent="0.2">
      <c r="A69" s="303"/>
      <c r="B69" s="303"/>
      <c r="C69" s="303"/>
      <c r="D69" s="303"/>
      <c r="E69" s="303"/>
      <c r="F69" s="303"/>
      <c r="G69" s="303"/>
      <c r="H69" s="303"/>
      <c r="I69" s="303"/>
      <c r="J69" s="303"/>
      <c r="K69" s="303"/>
      <c r="L69" s="303"/>
      <c r="M69" s="303"/>
      <c r="N69" s="303"/>
      <c r="O69" s="303"/>
      <c r="P69" s="303"/>
      <c r="Q69" s="303"/>
      <c r="R69" s="303"/>
      <c r="S69" s="303"/>
      <c r="T69" s="303"/>
      <c r="U69" s="303"/>
      <c r="V69" s="303"/>
    </row>
    <row r="70" spans="1:22" x14ac:dyDescent="0.2">
      <c r="A70" s="303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303"/>
      <c r="N70" s="303"/>
      <c r="O70" s="303"/>
      <c r="P70" s="303"/>
      <c r="Q70" s="303"/>
      <c r="R70" s="303"/>
      <c r="S70" s="303"/>
      <c r="T70" s="303"/>
      <c r="U70" s="303"/>
      <c r="V70" s="303"/>
    </row>
    <row r="71" spans="1:22" x14ac:dyDescent="0.2">
      <c r="A71" s="303"/>
      <c r="B71" s="303"/>
      <c r="C71" s="303"/>
      <c r="D71" s="303"/>
      <c r="E71" s="303"/>
      <c r="F71" s="303"/>
      <c r="G71" s="303"/>
      <c r="H71" s="303"/>
      <c r="I71" s="303"/>
      <c r="J71" s="303"/>
      <c r="K71" s="303"/>
      <c r="L71" s="303"/>
      <c r="M71" s="303"/>
      <c r="N71" s="303"/>
      <c r="O71" s="303"/>
      <c r="P71" s="303"/>
      <c r="Q71" s="303"/>
      <c r="R71" s="303"/>
      <c r="S71" s="303"/>
      <c r="T71" s="303"/>
      <c r="U71" s="303"/>
      <c r="V71" s="303"/>
    </row>
    <row r="72" spans="1:22" x14ac:dyDescent="0.2">
      <c r="A72" s="303"/>
      <c r="B72" s="303"/>
      <c r="C72" s="303"/>
      <c r="D72" s="303"/>
      <c r="E72" s="303"/>
      <c r="F72" s="303"/>
      <c r="G72" s="303"/>
      <c r="H72" s="303"/>
      <c r="I72" s="303"/>
      <c r="J72" s="303"/>
      <c r="K72" s="303"/>
      <c r="L72" s="303"/>
      <c r="M72" s="303"/>
      <c r="N72" s="303"/>
      <c r="O72" s="303"/>
      <c r="P72" s="303"/>
      <c r="Q72" s="303"/>
      <c r="R72" s="303"/>
      <c r="S72" s="303"/>
      <c r="T72" s="303"/>
      <c r="U72" s="303"/>
      <c r="V72" s="303"/>
    </row>
    <row r="73" spans="1:22" x14ac:dyDescent="0.2">
      <c r="A73" s="303"/>
      <c r="B73" s="303"/>
      <c r="C73" s="303"/>
      <c r="D73" s="303"/>
      <c r="E73" s="303"/>
      <c r="F73" s="303"/>
      <c r="G73" s="303"/>
      <c r="H73" s="303"/>
      <c r="I73" s="303"/>
      <c r="J73" s="303"/>
      <c r="K73" s="303"/>
      <c r="L73" s="303"/>
      <c r="M73" s="303"/>
      <c r="N73" s="303"/>
      <c r="O73" s="303"/>
      <c r="P73" s="303"/>
      <c r="Q73" s="303"/>
      <c r="R73" s="303"/>
      <c r="S73" s="303"/>
      <c r="T73" s="303"/>
      <c r="U73" s="303"/>
      <c r="V73" s="303"/>
    </row>
    <row r="74" spans="1:22" x14ac:dyDescent="0.2">
      <c r="A74" s="303"/>
      <c r="B74" s="303"/>
      <c r="C74" s="303"/>
      <c r="D74" s="303"/>
      <c r="E74" s="303"/>
      <c r="F74" s="303"/>
      <c r="G74" s="303"/>
      <c r="H74" s="303"/>
      <c r="I74" s="303"/>
      <c r="J74" s="303"/>
      <c r="K74" s="303"/>
      <c r="L74" s="303"/>
      <c r="M74" s="303"/>
      <c r="N74" s="303"/>
      <c r="O74" s="303"/>
      <c r="P74" s="303"/>
      <c r="Q74" s="303"/>
      <c r="R74" s="303"/>
      <c r="S74" s="303"/>
      <c r="T74" s="303"/>
      <c r="U74" s="303"/>
      <c r="V74" s="303"/>
    </row>
    <row r="75" spans="1:22" x14ac:dyDescent="0.2">
      <c r="L75" s="303"/>
      <c r="M75" s="303"/>
      <c r="N75" s="303"/>
      <c r="O75" s="303"/>
      <c r="P75" s="303"/>
      <c r="Q75" s="303"/>
      <c r="R75" s="303"/>
      <c r="S75" s="303"/>
      <c r="T75" s="303"/>
      <c r="U75" s="303"/>
    </row>
    <row r="76" spans="1:22" x14ac:dyDescent="0.2">
      <c r="L76" s="303"/>
      <c r="M76" s="303"/>
      <c r="N76" s="303"/>
      <c r="O76" s="303"/>
      <c r="P76" s="303"/>
      <c r="Q76" s="303"/>
      <c r="R76" s="303"/>
      <c r="S76" s="303"/>
      <c r="T76" s="303"/>
      <c r="U76" s="303"/>
    </row>
    <row r="77" spans="1:22" x14ac:dyDescent="0.2">
      <c r="L77" s="303"/>
      <c r="M77" s="303"/>
      <c r="N77" s="303"/>
      <c r="O77" s="303"/>
      <c r="P77" s="303"/>
      <c r="Q77" s="303"/>
      <c r="R77" s="303"/>
      <c r="S77" s="303"/>
      <c r="T77" s="303"/>
      <c r="U77" s="303"/>
    </row>
    <row r="78" spans="1:22" x14ac:dyDescent="0.2">
      <c r="L78" s="303"/>
      <c r="M78" s="303"/>
      <c r="N78" s="303"/>
      <c r="O78" s="303"/>
      <c r="P78" s="303"/>
      <c r="Q78" s="303"/>
      <c r="R78" s="303"/>
      <c r="S78" s="303"/>
      <c r="T78" s="303"/>
      <c r="U78" s="303"/>
    </row>
    <row r="79" spans="1:22" x14ac:dyDescent="0.2">
      <c r="L79" s="303"/>
      <c r="M79" s="303"/>
      <c r="N79" s="303"/>
      <c r="O79" s="303"/>
      <c r="P79" s="303"/>
      <c r="Q79" s="303"/>
      <c r="R79" s="303"/>
      <c r="S79" s="303"/>
      <c r="T79" s="303"/>
      <c r="U79" s="303"/>
    </row>
    <row r="80" spans="1:22" x14ac:dyDescent="0.2">
      <c r="L80" s="303"/>
      <c r="M80" s="303"/>
      <c r="N80" s="303"/>
      <c r="O80" s="303"/>
      <c r="P80" s="303"/>
      <c r="Q80" s="303"/>
      <c r="R80" s="303"/>
      <c r="S80" s="303"/>
      <c r="T80" s="303"/>
      <c r="U80" s="303"/>
    </row>
    <row r="81" spans="12:21" x14ac:dyDescent="0.2">
      <c r="L81" s="303"/>
      <c r="M81" s="303"/>
      <c r="N81" s="303"/>
      <c r="O81" s="303"/>
      <c r="P81" s="303"/>
      <c r="Q81" s="303"/>
      <c r="R81" s="303"/>
      <c r="S81" s="303"/>
      <c r="T81" s="303"/>
      <c r="U81" s="303"/>
    </row>
    <row r="82" spans="12:21" x14ac:dyDescent="0.2">
      <c r="L82" s="303"/>
      <c r="M82" s="303"/>
      <c r="N82" s="303"/>
      <c r="O82" s="303"/>
      <c r="P82" s="303"/>
      <c r="Q82" s="303"/>
      <c r="R82" s="303"/>
      <c r="S82" s="303"/>
      <c r="T82" s="303"/>
      <c r="U82" s="303"/>
    </row>
    <row r="83" spans="12:21" x14ac:dyDescent="0.2">
      <c r="L83" s="303"/>
      <c r="M83" s="303"/>
      <c r="N83" s="303"/>
      <c r="O83" s="303"/>
      <c r="P83" s="303"/>
      <c r="Q83" s="303"/>
      <c r="R83" s="303"/>
      <c r="S83" s="303"/>
      <c r="T83" s="303"/>
      <c r="U83" s="303"/>
    </row>
    <row r="84" spans="12:21" x14ac:dyDescent="0.2">
      <c r="L84" s="303"/>
      <c r="M84" s="303"/>
      <c r="N84" s="303"/>
      <c r="O84" s="303"/>
      <c r="P84" s="303"/>
      <c r="Q84" s="303"/>
      <c r="R84" s="303"/>
      <c r="S84" s="303"/>
      <c r="T84" s="303"/>
      <c r="U84" s="303"/>
    </row>
    <row r="85" spans="12:21" x14ac:dyDescent="0.2">
      <c r="L85" s="303"/>
      <c r="M85" s="303"/>
      <c r="N85" s="303"/>
      <c r="O85" s="303"/>
      <c r="P85" s="303"/>
      <c r="Q85" s="303"/>
      <c r="R85" s="303"/>
      <c r="S85" s="303"/>
      <c r="T85" s="303"/>
      <c r="U85" s="303"/>
    </row>
    <row r="86" spans="12:21" x14ac:dyDescent="0.2">
      <c r="L86" s="303"/>
      <c r="M86" s="303"/>
      <c r="N86" s="303"/>
      <c r="O86" s="303"/>
      <c r="P86" s="303"/>
      <c r="Q86" s="303"/>
      <c r="R86" s="303"/>
      <c r="S86" s="303"/>
      <c r="T86" s="303"/>
      <c r="U86" s="303"/>
    </row>
    <row r="87" spans="12:21" x14ac:dyDescent="0.2">
      <c r="L87" s="303"/>
      <c r="M87" s="303"/>
      <c r="N87" s="303"/>
      <c r="O87" s="303"/>
      <c r="P87" s="303"/>
      <c r="Q87" s="303"/>
      <c r="R87" s="303"/>
      <c r="S87" s="303"/>
      <c r="T87" s="303"/>
      <c r="U87" s="303"/>
    </row>
    <row r="88" spans="12:21" x14ac:dyDescent="0.2">
      <c r="L88" s="303"/>
      <c r="M88" s="303"/>
      <c r="N88" s="303"/>
      <c r="O88" s="303"/>
      <c r="P88" s="303"/>
      <c r="Q88" s="303"/>
      <c r="R88" s="303"/>
      <c r="S88" s="303"/>
      <c r="T88" s="303"/>
      <c r="U88" s="303"/>
    </row>
    <row r="89" spans="12:21" x14ac:dyDescent="0.2">
      <c r="L89" s="303"/>
      <c r="M89" s="303"/>
      <c r="N89" s="303"/>
      <c r="O89" s="303"/>
      <c r="P89" s="303"/>
      <c r="Q89" s="303"/>
      <c r="R89" s="303"/>
      <c r="S89" s="303"/>
      <c r="T89" s="303"/>
      <c r="U89" s="303"/>
    </row>
    <row r="90" spans="12:21" x14ac:dyDescent="0.2">
      <c r="L90" s="303"/>
      <c r="M90" s="303"/>
      <c r="N90" s="303"/>
      <c r="O90" s="303"/>
      <c r="P90" s="303"/>
      <c r="Q90" s="303"/>
      <c r="R90" s="303"/>
      <c r="S90" s="303"/>
      <c r="T90" s="303"/>
      <c r="U90" s="303"/>
    </row>
    <row r="91" spans="12:21" x14ac:dyDescent="0.2">
      <c r="L91" s="303"/>
      <c r="M91" s="303"/>
      <c r="N91" s="303"/>
      <c r="O91" s="303"/>
      <c r="P91" s="303"/>
      <c r="Q91" s="303"/>
      <c r="R91" s="303"/>
      <c r="S91" s="303"/>
      <c r="T91" s="303"/>
      <c r="U91" s="303"/>
    </row>
    <row r="92" spans="12:21" x14ac:dyDescent="0.2">
      <c r="L92" s="303"/>
      <c r="M92" s="303"/>
      <c r="N92" s="303"/>
      <c r="O92" s="303"/>
      <c r="P92" s="303"/>
      <c r="Q92" s="303"/>
      <c r="R92" s="303"/>
      <c r="S92" s="303"/>
      <c r="T92" s="303"/>
      <c r="U92" s="303"/>
    </row>
    <row r="93" spans="12:21" x14ac:dyDescent="0.2">
      <c r="L93" s="303"/>
      <c r="M93" s="303"/>
      <c r="N93" s="303"/>
      <c r="O93" s="303"/>
      <c r="P93" s="303"/>
      <c r="Q93" s="303"/>
      <c r="R93" s="303"/>
      <c r="S93" s="303"/>
      <c r="T93" s="303"/>
      <c r="U93" s="303"/>
    </row>
    <row r="94" spans="12:21" x14ac:dyDescent="0.2">
      <c r="L94" s="303"/>
      <c r="M94" s="303"/>
      <c r="N94" s="303"/>
      <c r="O94" s="303"/>
      <c r="P94" s="303"/>
      <c r="Q94" s="303"/>
      <c r="R94" s="303"/>
      <c r="S94" s="303"/>
      <c r="T94" s="303"/>
      <c r="U94" s="303"/>
    </row>
    <row r="95" spans="12:21" x14ac:dyDescent="0.2">
      <c r="L95" s="303"/>
      <c r="M95" s="303"/>
      <c r="N95" s="303"/>
      <c r="O95" s="303"/>
      <c r="P95" s="303"/>
      <c r="Q95" s="303"/>
      <c r="R95" s="303"/>
      <c r="S95" s="303"/>
      <c r="T95" s="303"/>
      <c r="U95" s="303"/>
    </row>
    <row r="96" spans="12:21" x14ac:dyDescent="0.2">
      <c r="L96" s="303"/>
      <c r="M96" s="303"/>
      <c r="N96" s="303"/>
      <c r="O96" s="303"/>
      <c r="P96" s="303"/>
      <c r="Q96" s="303"/>
      <c r="R96" s="303"/>
      <c r="S96" s="303"/>
      <c r="T96" s="303"/>
      <c r="U96" s="303"/>
    </row>
    <row r="97" spans="12:21" x14ac:dyDescent="0.2">
      <c r="L97" s="303"/>
      <c r="M97" s="303"/>
      <c r="N97" s="303"/>
      <c r="O97" s="303"/>
      <c r="P97" s="303"/>
      <c r="Q97" s="303"/>
      <c r="R97" s="303"/>
      <c r="S97" s="303"/>
      <c r="T97" s="303"/>
      <c r="U97" s="303"/>
    </row>
    <row r="98" spans="12:21" x14ac:dyDescent="0.2">
      <c r="L98" s="303"/>
      <c r="M98" s="303"/>
      <c r="N98" s="303"/>
      <c r="O98" s="303"/>
      <c r="P98" s="303"/>
      <c r="Q98" s="303"/>
      <c r="R98" s="303"/>
      <c r="S98" s="303"/>
      <c r="T98" s="303"/>
      <c r="U98" s="303"/>
    </row>
    <row r="99" spans="12:21" x14ac:dyDescent="0.2">
      <c r="L99" s="303"/>
      <c r="M99" s="303"/>
      <c r="N99" s="303"/>
      <c r="O99" s="303"/>
      <c r="P99" s="303"/>
      <c r="Q99" s="303"/>
      <c r="R99" s="303"/>
      <c r="S99" s="303"/>
      <c r="T99" s="303"/>
      <c r="U99" s="303"/>
    </row>
    <row r="100" spans="12:21" x14ac:dyDescent="0.2">
      <c r="L100" s="303"/>
      <c r="M100" s="303"/>
      <c r="N100" s="303"/>
      <c r="O100" s="303"/>
      <c r="P100" s="303"/>
      <c r="Q100" s="303"/>
      <c r="R100" s="303"/>
      <c r="S100" s="303"/>
      <c r="T100" s="303"/>
      <c r="U100" s="303"/>
    </row>
    <row r="101" spans="12:21" x14ac:dyDescent="0.2">
      <c r="L101" s="303"/>
      <c r="M101" s="303"/>
      <c r="N101" s="303"/>
      <c r="O101" s="303"/>
      <c r="P101" s="303"/>
      <c r="Q101" s="303"/>
      <c r="R101" s="303"/>
      <c r="S101" s="303"/>
      <c r="T101" s="303"/>
      <c r="U101" s="303"/>
    </row>
    <row r="102" spans="12:21" x14ac:dyDescent="0.2">
      <c r="L102" s="303"/>
      <c r="M102" s="303"/>
      <c r="N102" s="303"/>
      <c r="O102" s="303"/>
      <c r="P102" s="303"/>
      <c r="Q102" s="303"/>
      <c r="R102" s="303"/>
      <c r="S102" s="303"/>
      <c r="T102" s="303"/>
      <c r="U102" s="303"/>
    </row>
    <row r="103" spans="12:21" x14ac:dyDescent="0.2">
      <c r="L103" s="303"/>
      <c r="M103" s="303"/>
      <c r="N103" s="303"/>
      <c r="O103" s="303"/>
      <c r="P103" s="303"/>
      <c r="Q103" s="303"/>
      <c r="R103" s="303"/>
      <c r="S103" s="303"/>
      <c r="T103" s="303"/>
      <c r="U103" s="303"/>
    </row>
    <row r="104" spans="12:21" x14ac:dyDescent="0.2">
      <c r="L104" s="303"/>
      <c r="M104" s="303"/>
      <c r="N104" s="303"/>
      <c r="O104" s="303"/>
      <c r="P104" s="303"/>
      <c r="Q104" s="303"/>
      <c r="R104" s="303"/>
      <c r="S104" s="303"/>
      <c r="T104" s="303"/>
      <c r="U104" s="303"/>
    </row>
    <row r="105" spans="12:21" x14ac:dyDescent="0.2">
      <c r="L105" s="303"/>
      <c r="M105" s="303"/>
      <c r="N105" s="303"/>
      <c r="O105" s="303"/>
      <c r="P105" s="303"/>
      <c r="Q105" s="303"/>
      <c r="R105" s="303"/>
      <c r="S105" s="303"/>
      <c r="T105" s="303"/>
      <c r="U105" s="303"/>
    </row>
    <row r="106" spans="12:21" x14ac:dyDescent="0.2">
      <c r="L106" s="303"/>
      <c r="M106" s="303"/>
      <c r="N106" s="303"/>
      <c r="O106" s="303"/>
      <c r="P106" s="303"/>
      <c r="Q106" s="303"/>
      <c r="R106" s="303"/>
      <c r="S106" s="303"/>
      <c r="T106" s="303"/>
      <c r="U106" s="303"/>
    </row>
    <row r="107" spans="12:21" x14ac:dyDescent="0.2">
      <c r="L107" s="303"/>
      <c r="M107" s="303"/>
      <c r="N107" s="303"/>
      <c r="O107" s="303"/>
      <c r="P107" s="303"/>
      <c r="Q107" s="303"/>
      <c r="R107" s="303"/>
      <c r="S107" s="303"/>
      <c r="T107" s="303"/>
      <c r="U107" s="303"/>
    </row>
    <row r="108" spans="12:21" x14ac:dyDescent="0.2">
      <c r="L108" s="303"/>
      <c r="M108" s="303"/>
      <c r="N108" s="303"/>
      <c r="O108" s="303"/>
      <c r="P108" s="303"/>
      <c r="Q108" s="303"/>
      <c r="R108" s="303"/>
      <c r="S108" s="303"/>
      <c r="T108" s="303"/>
      <c r="U108" s="303"/>
    </row>
    <row r="109" spans="12:21" x14ac:dyDescent="0.2">
      <c r="L109" s="303"/>
      <c r="M109" s="303"/>
      <c r="N109" s="303"/>
      <c r="O109" s="303"/>
      <c r="P109" s="303"/>
      <c r="Q109" s="303"/>
      <c r="R109" s="303"/>
      <c r="S109" s="303"/>
      <c r="T109" s="303"/>
      <c r="U109" s="303"/>
    </row>
    <row r="110" spans="12:21" x14ac:dyDescent="0.2">
      <c r="L110" s="303"/>
      <c r="M110" s="303"/>
      <c r="N110" s="303"/>
      <c r="O110" s="303"/>
      <c r="P110" s="303"/>
      <c r="Q110" s="303"/>
      <c r="R110" s="303"/>
      <c r="S110" s="303"/>
      <c r="T110" s="303"/>
      <c r="U110" s="303"/>
    </row>
    <row r="111" spans="12:21" x14ac:dyDescent="0.2">
      <c r="L111" s="303"/>
      <c r="M111" s="303"/>
      <c r="N111" s="303"/>
      <c r="O111" s="303"/>
      <c r="P111" s="303"/>
      <c r="Q111" s="303"/>
      <c r="R111" s="303"/>
      <c r="S111" s="303"/>
      <c r="T111" s="303"/>
      <c r="U111" s="303"/>
    </row>
    <row r="112" spans="12:21" x14ac:dyDescent="0.2">
      <c r="L112" s="303"/>
      <c r="M112" s="303"/>
      <c r="N112" s="303"/>
      <c r="O112" s="303"/>
      <c r="P112" s="303"/>
      <c r="Q112" s="303"/>
      <c r="R112" s="303"/>
      <c r="S112" s="303"/>
      <c r="T112" s="303"/>
      <c r="U112" s="303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M51"/>
  <sheetViews>
    <sheetView topLeftCell="A6" zoomScaleNormal="100" zoomScaleSheetLayoutView="100" workbookViewId="0">
      <selection activeCell="J20" sqref="J20:K20"/>
    </sheetView>
  </sheetViews>
  <sheetFormatPr defaultColWidth="9.140625" defaultRowHeight="16.5" x14ac:dyDescent="0.3"/>
  <cols>
    <col min="1" max="1" width="4.42578125" style="81" customWidth="1"/>
    <col min="2" max="2" width="4.5703125" style="82" customWidth="1"/>
    <col min="3" max="3" width="14.28515625" style="81" customWidth="1"/>
    <col min="4" max="4" width="10.28515625" style="81" customWidth="1"/>
    <col min="5" max="6" width="9.28515625" style="81" bestFit="1" customWidth="1"/>
    <col min="7" max="7" width="9.7109375" style="81" bestFit="1" customWidth="1"/>
    <col min="8" max="9" width="9.28515625" style="81" bestFit="1" customWidth="1"/>
    <col min="10" max="10" width="14" style="81" customWidth="1"/>
    <col min="11" max="11" width="12" style="81" customWidth="1"/>
    <col min="12" max="16384" width="9.140625" style="81"/>
  </cols>
  <sheetData>
    <row r="1" spans="1:11" ht="17.25" thickBot="1" x14ac:dyDescent="0.35"/>
    <row r="2" spans="1:11" ht="17.25" thickBot="1" x14ac:dyDescent="0.35">
      <c r="D2" s="83" t="s">
        <v>25</v>
      </c>
      <c r="G2" s="84" t="s">
        <v>204</v>
      </c>
      <c r="H2" s="85"/>
      <c r="I2" s="86"/>
    </row>
    <row r="3" spans="1:11" x14ac:dyDescent="0.3">
      <c r="B3" s="82" t="s">
        <v>26</v>
      </c>
      <c r="D3" s="87" t="s">
        <v>134</v>
      </c>
      <c r="E3" s="87"/>
      <c r="F3" s="87"/>
    </row>
    <row r="4" spans="1:11" x14ac:dyDescent="0.3">
      <c r="B4" s="82" t="s">
        <v>28</v>
      </c>
      <c r="D4" s="87">
        <v>260</v>
      </c>
    </row>
    <row r="5" spans="1:11" x14ac:dyDescent="0.3">
      <c r="B5" s="82" t="s">
        <v>29</v>
      </c>
      <c r="D5" s="87" t="s">
        <v>135</v>
      </c>
    </row>
    <row r="6" spans="1:11" x14ac:dyDescent="0.3">
      <c r="B6" s="82" t="s">
        <v>31</v>
      </c>
      <c r="D6" s="87"/>
    </row>
    <row r="7" spans="1:11" x14ac:dyDescent="0.3">
      <c r="A7" s="81" t="s">
        <v>32</v>
      </c>
      <c r="B7" s="88" t="s">
        <v>33</v>
      </c>
      <c r="C7" s="89" t="s">
        <v>34</v>
      </c>
      <c r="D7" s="90" t="s">
        <v>35</v>
      </c>
      <c r="E7" s="90" t="s">
        <v>36</v>
      </c>
      <c r="F7" s="91" t="s">
        <v>37</v>
      </c>
      <c r="G7" s="90" t="s">
        <v>38</v>
      </c>
      <c r="H7" s="91" t="s">
        <v>39</v>
      </c>
      <c r="I7" s="90" t="s">
        <v>40</v>
      </c>
      <c r="J7" s="91" t="s">
        <v>41</v>
      </c>
      <c r="K7" s="90" t="s">
        <v>156</v>
      </c>
    </row>
    <row r="8" spans="1:11" x14ac:dyDescent="0.3">
      <c r="B8" s="92" t="s">
        <v>43</v>
      </c>
      <c r="C8" s="93"/>
      <c r="D8" s="94" t="s">
        <v>34</v>
      </c>
      <c r="E8" s="94"/>
      <c r="F8" s="95"/>
      <c r="G8" s="94"/>
      <c r="H8" s="95"/>
      <c r="I8" s="94"/>
      <c r="J8" s="95" t="s">
        <v>44</v>
      </c>
      <c r="K8" s="94" t="s">
        <v>157</v>
      </c>
    </row>
    <row r="9" spans="1:11" x14ac:dyDescent="0.3">
      <c r="B9" s="96"/>
      <c r="C9" s="97" t="s">
        <v>178</v>
      </c>
      <c r="D9" s="97"/>
      <c r="E9" s="97"/>
      <c r="F9" s="97"/>
      <c r="G9" s="97"/>
      <c r="H9" s="97"/>
      <c r="I9" s="97"/>
      <c r="J9" s="98"/>
      <c r="K9" s="288">
        <v>8.64</v>
      </c>
    </row>
    <row r="10" spans="1:11" x14ac:dyDescent="0.3">
      <c r="B10" s="100"/>
      <c r="C10" s="101">
        <v>2016</v>
      </c>
      <c r="D10" s="100"/>
      <c r="E10" s="100"/>
      <c r="F10" s="100"/>
      <c r="G10" s="100"/>
      <c r="H10" s="100"/>
      <c r="I10" s="100"/>
      <c r="J10" s="238"/>
      <c r="K10" s="289"/>
    </row>
    <row r="11" spans="1:11" x14ac:dyDescent="0.3">
      <c r="B11" s="100">
        <v>1</v>
      </c>
      <c r="C11" s="97" t="s">
        <v>49</v>
      </c>
      <c r="D11" s="224">
        <v>30</v>
      </c>
      <c r="E11" s="224"/>
      <c r="F11" s="224"/>
      <c r="G11" s="224"/>
      <c r="H11" s="153"/>
      <c r="I11" s="153"/>
      <c r="J11" s="239">
        <f t="shared" ref="J11:J32" si="0">D11-E11-F11-G11-H11</f>
        <v>30</v>
      </c>
      <c r="K11" s="289">
        <f>J11*30/365</f>
        <v>2.4657534246575343</v>
      </c>
    </row>
    <row r="12" spans="1:11" x14ac:dyDescent="0.3">
      <c r="B12" s="100">
        <v>2</v>
      </c>
      <c r="C12" s="176" t="s">
        <v>68</v>
      </c>
      <c r="D12" s="224">
        <v>31</v>
      </c>
      <c r="E12" s="224"/>
      <c r="F12" s="224"/>
      <c r="G12" s="224"/>
      <c r="H12" s="153"/>
      <c r="I12" s="153"/>
      <c r="J12" s="239">
        <f t="shared" si="0"/>
        <v>31</v>
      </c>
      <c r="K12" s="289">
        <f t="shared" ref="K12:K32" si="1">J12*30/365</f>
        <v>2.547945205479452</v>
      </c>
    </row>
    <row r="13" spans="1:11" x14ac:dyDescent="0.3">
      <c r="B13" s="100">
        <v>3</v>
      </c>
      <c r="C13" s="97" t="s">
        <v>69</v>
      </c>
      <c r="D13" s="224">
        <v>30</v>
      </c>
      <c r="E13" s="224"/>
      <c r="F13" s="224"/>
      <c r="G13" s="224"/>
      <c r="H13" s="153"/>
      <c r="I13" s="153"/>
      <c r="J13" s="239">
        <f t="shared" si="0"/>
        <v>30</v>
      </c>
      <c r="K13" s="289">
        <f t="shared" si="1"/>
        <v>2.4657534246575343</v>
      </c>
    </row>
    <row r="14" spans="1:11" x14ac:dyDescent="0.3">
      <c r="B14" s="100">
        <v>4</v>
      </c>
      <c r="C14" s="176" t="s">
        <v>155</v>
      </c>
      <c r="D14" s="224">
        <v>31</v>
      </c>
      <c r="E14" s="224"/>
      <c r="F14" s="224"/>
      <c r="G14" s="224"/>
      <c r="H14" s="153"/>
      <c r="I14" s="153"/>
      <c r="J14" s="239">
        <f t="shared" si="0"/>
        <v>31</v>
      </c>
      <c r="K14" s="289">
        <f t="shared" si="1"/>
        <v>2.547945205479452</v>
      </c>
    </row>
    <row r="15" spans="1:11" x14ac:dyDescent="0.3">
      <c r="B15" s="100">
        <v>5</v>
      </c>
      <c r="C15" s="97" t="s">
        <v>71</v>
      </c>
      <c r="D15" s="224">
        <v>31</v>
      </c>
      <c r="E15" s="224"/>
      <c r="F15" s="224"/>
      <c r="G15" s="224"/>
      <c r="H15" s="153"/>
      <c r="I15" s="153"/>
      <c r="J15" s="239">
        <f t="shared" si="0"/>
        <v>31</v>
      </c>
      <c r="K15" s="289">
        <f t="shared" si="1"/>
        <v>2.547945205479452</v>
      </c>
    </row>
    <row r="16" spans="1:11" x14ac:dyDescent="0.3">
      <c r="B16" s="100">
        <v>6</v>
      </c>
      <c r="C16" s="176" t="s">
        <v>72</v>
      </c>
      <c r="D16" s="224">
        <v>30</v>
      </c>
      <c r="E16" s="224"/>
      <c r="F16" s="224"/>
      <c r="G16" s="224"/>
      <c r="H16" s="153"/>
      <c r="I16" s="153"/>
      <c r="J16" s="239">
        <f t="shared" si="0"/>
        <v>30</v>
      </c>
      <c r="K16" s="289">
        <f t="shared" si="1"/>
        <v>2.4657534246575343</v>
      </c>
    </row>
    <row r="17" spans="2:11" x14ac:dyDescent="0.3">
      <c r="B17" s="100">
        <v>7</v>
      </c>
      <c r="C17" s="97" t="s">
        <v>73</v>
      </c>
      <c r="D17" s="224">
        <v>31</v>
      </c>
      <c r="E17" s="224"/>
      <c r="F17" s="224"/>
      <c r="G17" s="224"/>
      <c r="H17" s="153"/>
      <c r="I17" s="153"/>
      <c r="J17" s="239">
        <f t="shared" si="0"/>
        <v>31</v>
      </c>
      <c r="K17" s="289">
        <f t="shared" si="1"/>
        <v>2.547945205479452</v>
      </c>
    </row>
    <row r="18" spans="2:11" x14ac:dyDescent="0.3">
      <c r="B18" s="100">
        <v>8</v>
      </c>
      <c r="C18" s="176" t="s">
        <v>74</v>
      </c>
      <c r="D18" s="224">
        <v>30</v>
      </c>
      <c r="E18" s="224">
        <v>11</v>
      </c>
      <c r="F18" s="224">
        <v>1</v>
      </c>
      <c r="G18" s="224"/>
      <c r="H18" s="153"/>
      <c r="I18" s="153"/>
      <c r="J18" s="239">
        <f t="shared" si="0"/>
        <v>18</v>
      </c>
      <c r="K18" s="289">
        <f t="shared" si="1"/>
        <v>1.4794520547945205</v>
      </c>
    </row>
    <row r="19" spans="2:11" x14ac:dyDescent="0.3">
      <c r="B19" s="100">
        <v>9</v>
      </c>
      <c r="C19" s="176" t="s">
        <v>75</v>
      </c>
      <c r="D19" s="224">
        <v>31</v>
      </c>
      <c r="E19" s="224">
        <v>16</v>
      </c>
      <c r="F19" s="224"/>
      <c r="G19" s="224"/>
      <c r="H19" s="153">
        <v>15</v>
      </c>
      <c r="I19" s="153"/>
      <c r="J19" s="239">
        <f t="shared" si="0"/>
        <v>0</v>
      </c>
      <c r="K19" s="289">
        <f t="shared" si="1"/>
        <v>0</v>
      </c>
    </row>
    <row r="20" spans="2:11" x14ac:dyDescent="0.3">
      <c r="B20" s="238"/>
      <c r="C20" s="101">
        <v>2017</v>
      </c>
      <c r="D20" s="224"/>
      <c r="E20" s="224"/>
      <c r="F20" s="224"/>
      <c r="G20" s="224"/>
      <c r="H20" s="153"/>
      <c r="I20" s="153"/>
      <c r="J20" s="239"/>
      <c r="K20" s="289"/>
    </row>
    <row r="21" spans="2:11" x14ac:dyDescent="0.3">
      <c r="B21" s="238">
        <v>10</v>
      </c>
      <c r="C21" s="97" t="s">
        <v>46</v>
      </c>
      <c r="D21" s="224">
        <v>31</v>
      </c>
      <c r="E21" s="224"/>
      <c r="F21" s="224">
        <v>2</v>
      </c>
      <c r="G21" s="224"/>
      <c r="H21" s="153">
        <v>3</v>
      </c>
      <c r="I21" s="153"/>
      <c r="J21" s="239">
        <f t="shared" si="0"/>
        <v>26</v>
      </c>
      <c r="K21" s="289">
        <f t="shared" si="1"/>
        <v>2.1369863013698631</v>
      </c>
    </row>
    <row r="22" spans="2:11" x14ac:dyDescent="0.3">
      <c r="B22" s="238">
        <v>11</v>
      </c>
      <c r="C22" s="176" t="s">
        <v>47</v>
      </c>
      <c r="D22" s="224">
        <v>28</v>
      </c>
      <c r="E22" s="224"/>
      <c r="F22" s="224"/>
      <c r="G22" s="224"/>
      <c r="H22" s="153"/>
      <c r="I22" s="153"/>
      <c r="J22" s="239">
        <f t="shared" si="0"/>
        <v>28</v>
      </c>
      <c r="K22" s="289">
        <f t="shared" si="1"/>
        <v>2.3013698630136985</v>
      </c>
    </row>
    <row r="23" spans="2:11" x14ac:dyDescent="0.3">
      <c r="B23" s="238">
        <v>12</v>
      </c>
      <c r="C23" s="176" t="s">
        <v>48</v>
      </c>
      <c r="D23" s="224">
        <v>31</v>
      </c>
      <c r="E23" s="224"/>
      <c r="F23" s="224"/>
      <c r="G23" s="224"/>
      <c r="H23" s="153"/>
      <c r="I23" s="153"/>
      <c r="J23" s="239">
        <f t="shared" si="0"/>
        <v>31</v>
      </c>
      <c r="K23" s="289">
        <f t="shared" si="1"/>
        <v>2.547945205479452</v>
      </c>
    </row>
    <row r="24" spans="2:11" x14ac:dyDescent="0.3">
      <c r="B24" s="238">
        <v>13</v>
      </c>
      <c r="C24" s="176" t="s">
        <v>49</v>
      </c>
      <c r="D24" s="224">
        <v>30</v>
      </c>
      <c r="E24" s="224"/>
      <c r="F24" s="224"/>
      <c r="G24" s="224"/>
      <c r="H24" s="153"/>
      <c r="I24" s="153"/>
      <c r="J24" s="239">
        <f t="shared" si="0"/>
        <v>30</v>
      </c>
      <c r="K24" s="289">
        <f t="shared" si="1"/>
        <v>2.4657534246575343</v>
      </c>
    </row>
    <row r="25" spans="2:11" x14ac:dyDescent="0.3">
      <c r="B25" s="238">
        <v>14</v>
      </c>
      <c r="C25" s="176" t="s">
        <v>68</v>
      </c>
      <c r="D25" s="224">
        <v>31</v>
      </c>
      <c r="E25" s="224"/>
      <c r="F25" s="224"/>
      <c r="G25" s="224"/>
      <c r="H25" s="153"/>
      <c r="I25" s="153"/>
      <c r="J25" s="239">
        <f t="shared" si="0"/>
        <v>31</v>
      </c>
      <c r="K25" s="289">
        <f t="shared" si="1"/>
        <v>2.547945205479452</v>
      </c>
    </row>
    <row r="26" spans="2:11" x14ac:dyDescent="0.3">
      <c r="B26" s="238">
        <v>15</v>
      </c>
      <c r="C26" s="176" t="s">
        <v>69</v>
      </c>
      <c r="D26" s="224">
        <v>30</v>
      </c>
      <c r="E26" s="224"/>
      <c r="F26" s="224">
        <v>1</v>
      </c>
      <c r="G26" s="224"/>
      <c r="H26" s="153"/>
      <c r="I26" s="153"/>
      <c r="J26" s="239">
        <f t="shared" si="0"/>
        <v>29</v>
      </c>
      <c r="K26" s="289">
        <f t="shared" si="1"/>
        <v>2.3835616438356166</v>
      </c>
    </row>
    <row r="27" spans="2:11" x14ac:dyDescent="0.3">
      <c r="B27" s="238">
        <v>16</v>
      </c>
      <c r="C27" s="176" t="s">
        <v>155</v>
      </c>
      <c r="D27" s="224">
        <v>31</v>
      </c>
      <c r="E27" s="224"/>
      <c r="F27" s="224"/>
      <c r="G27" s="224"/>
      <c r="H27" s="153"/>
      <c r="I27" s="153"/>
      <c r="J27" s="239">
        <f t="shared" si="0"/>
        <v>31</v>
      </c>
      <c r="K27" s="289">
        <f t="shared" si="1"/>
        <v>2.547945205479452</v>
      </c>
    </row>
    <row r="28" spans="2:11" x14ac:dyDescent="0.3">
      <c r="B28" s="238">
        <v>17</v>
      </c>
      <c r="C28" s="176" t="s">
        <v>71</v>
      </c>
      <c r="D28" s="224">
        <v>31</v>
      </c>
      <c r="E28" s="224"/>
      <c r="F28" s="224"/>
      <c r="G28" s="224"/>
      <c r="H28" s="153"/>
      <c r="I28" s="153"/>
      <c r="J28" s="239">
        <f t="shared" si="0"/>
        <v>31</v>
      </c>
      <c r="K28" s="289">
        <f t="shared" si="1"/>
        <v>2.547945205479452</v>
      </c>
    </row>
    <row r="29" spans="2:11" x14ac:dyDescent="0.3">
      <c r="B29" s="238">
        <v>18</v>
      </c>
      <c r="C29" s="176" t="s">
        <v>72</v>
      </c>
      <c r="D29" s="224">
        <v>30</v>
      </c>
      <c r="E29" s="224"/>
      <c r="F29" s="224"/>
      <c r="G29" s="224"/>
      <c r="H29" s="153"/>
      <c r="I29" s="153"/>
      <c r="J29" s="239">
        <f t="shared" si="0"/>
        <v>30</v>
      </c>
      <c r="K29" s="289">
        <f t="shared" si="1"/>
        <v>2.4657534246575343</v>
      </c>
    </row>
    <row r="30" spans="2:11" x14ac:dyDescent="0.3">
      <c r="B30" s="238">
        <v>19</v>
      </c>
      <c r="C30" s="176" t="s">
        <v>73</v>
      </c>
      <c r="D30" s="224">
        <v>31</v>
      </c>
      <c r="E30" s="224"/>
      <c r="F30" s="224"/>
      <c r="G30" s="224"/>
      <c r="H30" s="153"/>
      <c r="I30" s="153"/>
      <c r="J30" s="239">
        <f t="shared" si="0"/>
        <v>31</v>
      </c>
      <c r="K30" s="289">
        <f t="shared" si="1"/>
        <v>2.547945205479452</v>
      </c>
    </row>
    <row r="31" spans="2:11" x14ac:dyDescent="0.3">
      <c r="B31" s="238">
        <v>20</v>
      </c>
      <c r="C31" s="176" t="s">
        <v>74</v>
      </c>
      <c r="D31" s="224">
        <v>30</v>
      </c>
      <c r="E31" s="224"/>
      <c r="F31" s="224"/>
      <c r="G31" s="224"/>
      <c r="H31" s="153"/>
      <c r="I31" s="153"/>
      <c r="J31" s="239">
        <f t="shared" si="0"/>
        <v>30</v>
      </c>
      <c r="K31" s="289">
        <f t="shared" si="1"/>
        <v>2.4657534246575343</v>
      </c>
    </row>
    <row r="32" spans="2:11" x14ac:dyDescent="0.3">
      <c r="B32" s="238">
        <v>21</v>
      </c>
      <c r="C32" s="176" t="s">
        <v>75</v>
      </c>
      <c r="D32" s="224">
        <v>31</v>
      </c>
      <c r="E32" s="224">
        <v>8</v>
      </c>
      <c r="F32" s="224"/>
      <c r="G32" s="224"/>
      <c r="H32" s="153"/>
      <c r="I32" s="153"/>
      <c r="J32" s="239">
        <f t="shared" si="0"/>
        <v>23</v>
      </c>
      <c r="K32" s="289">
        <f t="shared" si="1"/>
        <v>1.8904109589041096</v>
      </c>
    </row>
    <row r="33" spans="2:13" x14ac:dyDescent="0.3">
      <c r="B33" s="105" t="s">
        <v>50</v>
      </c>
      <c r="C33" s="106"/>
      <c r="D33" s="220">
        <f>SUM(D9:D32)</f>
        <v>640</v>
      </c>
      <c r="E33" s="220">
        <f t="shared" ref="E33:I33" si="2">SUM(E9:E23)</f>
        <v>27</v>
      </c>
      <c r="F33" s="220">
        <f t="shared" si="2"/>
        <v>3</v>
      </c>
      <c r="G33" s="220">
        <f t="shared" si="2"/>
        <v>0</v>
      </c>
      <c r="H33" s="220">
        <f t="shared" si="2"/>
        <v>18</v>
      </c>
      <c r="I33" s="220">
        <f t="shared" si="2"/>
        <v>0</v>
      </c>
      <c r="J33" s="220">
        <f>SUM(J9:J32)</f>
        <v>583</v>
      </c>
      <c r="K33" s="220">
        <f>SUM(K9:K32)</f>
        <v>56.557808219178085</v>
      </c>
    </row>
    <row r="34" spans="2:13" ht="17.25" thickBot="1" x14ac:dyDescent="0.35">
      <c r="B34" s="108"/>
      <c r="C34" s="109"/>
      <c r="D34" s="109"/>
      <c r="E34" s="109"/>
      <c r="F34" s="109"/>
      <c r="G34" s="109"/>
      <c r="H34" s="109"/>
      <c r="I34" s="109"/>
      <c r="J34" s="109"/>
      <c r="K34" s="112"/>
      <c r="M34" s="132"/>
    </row>
    <row r="35" spans="2:13" ht="17.25" thickBot="1" x14ac:dyDescent="0.35">
      <c r="B35" s="343" t="s">
        <v>51</v>
      </c>
      <c r="C35" s="344"/>
      <c r="D35" s="344"/>
      <c r="E35" s="344"/>
      <c r="F35" s="344"/>
      <c r="G35" s="344"/>
      <c r="H35" s="344"/>
      <c r="I35" s="344"/>
      <c r="J35" s="344"/>
      <c r="K35" s="345"/>
    </row>
    <row r="36" spans="2:13" x14ac:dyDescent="0.3">
      <c r="B36" s="279">
        <v>1</v>
      </c>
      <c r="C36" s="280" t="s">
        <v>52</v>
      </c>
      <c r="D36" s="280"/>
      <c r="E36" s="280"/>
      <c r="F36" s="280"/>
      <c r="G36" s="280"/>
      <c r="H36" s="280"/>
      <c r="I36" s="281"/>
      <c r="J36" s="282"/>
      <c r="K36" s="51">
        <f>+E33</f>
        <v>27</v>
      </c>
      <c r="L36" s="132"/>
    </row>
    <row r="37" spans="2:13" x14ac:dyDescent="0.3">
      <c r="B37" s="110" t="s">
        <v>183</v>
      </c>
      <c r="C37" s="111" t="s">
        <v>184</v>
      </c>
      <c r="D37" s="111"/>
      <c r="E37" s="111"/>
      <c r="F37" s="111"/>
      <c r="G37" s="111"/>
      <c r="H37" s="111"/>
      <c r="I37" s="112"/>
      <c r="K37" s="51">
        <v>3</v>
      </c>
    </row>
    <row r="38" spans="2:13" x14ac:dyDescent="0.3">
      <c r="B38" s="283"/>
      <c r="C38" s="280"/>
      <c r="D38" s="280"/>
      <c r="E38" s="280"/>
      <c r="F38" s="280"/>
      <c r="G38" s="280"/>
      <c r="H38" s="280"/>
      <c r="I38" s="281"/>
      <c r="J38" s="282"/>
      <c r="K38" s="51">
        <f>+E34</f>
        <v>0</v>
      </c>
    </row>
    <row r="39" spans="2:13" ht="17.25" thickBot="1" x14ac:dyDescent="0.35">
      <c r="B39" s="283" t="s">
        <v>54</v>
      </c>
      <c r="C39" s="280"/>
      <c r="D39" s="280"/>
      <c r="E39" s="280"/>
      <c r="F39" s="280"/>
      <c r="G39" s="280"/>
      <c r="H39" s="280"/>
      <c r="I39" s="281"/>
      <c r="J39" s="282"/>
      <c r="K39" s="53">
        <f>K33-E33+K37</f>
        <v>32.557808219178085</v>
      </c>
    </row>
    <row r="40" spans="2:13" ht="17.25" thickBot="1" x14ac:dyDescent="0.35">
      <c r="B40" s="284"/>
      <c r="C40" s="285"/>
      <c r="D40" s="285"/>
      <c r="E40" s="285"/>
      <c r="F40" s="285"/>
      <c r="G40" s="285"/>
      <c r="H40" s="285"/>
      <c r="I40" s="286"/>
      <c r="J40" s="287"/>
      <c r="K40" s="54"/>
    </row>
    <row r="41" spans="2:13" x14ac:dyDescent="0.3">
      <c r="B41" s="225" t="s">
        <v>55</v>
      </c>
      <c r="C41" s="226"/>
      <c r="D41" s="226"/>
      <c r="E41" s="227"/>
      <c r="F41" s="228"/>
      <c r="G41" s="228"/>
      <c r="H41" s="228"/>
      <c r="I41" s="228"/>
      <c r="J41" s="229"/>
      <c r="K41" s="55"/>
    </row>
    <row r="42" spans="2:13" x14ac:dyDescent="0.3">
      <c r="B42" s="123">
        <v>1</v>
      </c>
      <c r="C42" s="111" t="s">
        <v>56</v>
      </c>
      <c r="D42" s="111"/>
      <c r="E42" s="56"/>
      <c r="F42" s="111"/>
      <c r="G42" s="111"/>
      <c r="H42" s="111"/>
      <c r="I42" s="111"/>
      <c r="J42" s="230"/>
      <c r="K42" s="55"/>
    </row>
    <row r="43" spans="2:13" x14ac:dyDescent="0.3">
      <c r="B43" s="110">
        <v>2</v>
      </c>
      <c r="C43" s="111" t="s">
        <v>57</v>
      </c>
      <c r="D43" s="111"/>
      <c r="E43" s="57">
        <v>0</v>
      </c>
      <c r="F43" s="111"/>
      <c r="G43" s="111"/>
      <c r="H43" s="111"/>
      <c r="I43" s="111"/>
      <c r="J43" s="230"/>
      <c r="K43" s="55"/>
    </row>
    <row r="44" spans="2:13" x14ac:dyDescent="0.3">
      <c r="B44" s="110">
        <v>3</v>
      </c>
      <c r="C44" s="111" t="s">
        <v>58</v>
      </c>
      <c r="D44" s="111"/>
      <c r="E44" s="57">
        <v>0</v>
      </c>
      <c r="F44" s="111"/>
      <c r="G44" s="111"/>
      <c r="H44" s="111"/>
      <c r="I44" s="111"/>
      <c r="J44" s="230"/>
      <c r="K44" s="55"/>
    </row>
    <row r="45" spans="2:13" x14ac:dyDescent="0.3">
      <c r="B45" s="110">
        <v>4</v>
      </c>
      <c r="C45" s="111" t="s">
        <v>40</v>
      </c>
      <c r="D45" s="111"/>
      <c r="E45" s="57">
        <v>0</v>
      </c>
      <c r="F45" s="111"/>
      <c r="G45" s="111"/>
      <c r="H45" s="111"/>
      <c r="I45" s="111"/>
      <c r="J45" s="230"/>
      <c r="K45" s="55"/>
    </row>
    <row r="46" spans="2:13" ht="17.25" thickBot="1" x14ac:dyDescent="0.35">
      <c r="B46" s="124" t="s">
        <v>59</v>
      </c>
      <c r="C46" s="125"/>
      <c r="D46" s="126"/>
      <c r="E46" s="58">
        <f>+E42+E43+E44+E45</f>
        <v>0</v>
      </c>
      <c r="F46" s="111"/>
      <c r="G46" s="111"/>
      <c r="H46" s="111"/>
      <c r="I46" s="111"/>
      <c r="J46" s="230"/>
      <c r="K46" s="55"/>
    </row>
    <row r="47" spans="2:13" ht="17.25" thickTop="1" x14ac:dyDescent="0.3">
      <c r="B47" s="127"/>
      <c r="C47" s="120"/>
      <c r="D47" s="120"/>
      <c r="E47" s="59"/>
      <c r="F47" s="111"/>
      <c r="G47" s="111"/>
      <c r="H47" s="111"/>
      <c r="I47" s="111"/>
      <c r="J47" s="230"/>
      <c r="K47" s="55"/>
    </row>
    <row r="48" spans="2:13" x14ac:dyDescent="0.3">
      <c r="B48" s="139"/>
      <c r="C48" s="111"/>
      <c r="D48" s="111"/>
      <c r="E48" s="140"/>
      <c r="F48" s="111"/>
      <c r="G48" s="111"/>
      <c r="H48" s="111"/>
      <c r="I48" s="111"/>
      <c r="J48" s="230"/>
      <c r="K48" s="55"/>
    </row>
    <row r="49" spans="2:11" x14ac:dyDescent="0.3">
      <c r="B49" s="139"/>
      <c r="C49" s="111"/>
      <c r="D49" s="111"/>
      <c r="E49" s="140"/>
      <c r="F49" s="111"/>
      <c r="G49" s="111"/>
      <c r="H49" s="111"/>
      <c r="I49" s="111"/>
      <c r="J49" s="230"/>
      <c r="K49" s="55"/>
    </row>
    <row r="50" spans="2:11" x14ac:dyDescent="0.3">
      <c r="B50" s="139"/>
      <c r="C50" s="141"/>
      <c r="D50" s="111"/>
      <c r="E50" s="140"/>
      <c r="F50" s="111"/>
      <c r="G50" s="111"/>
      <c r="H50" s="111"/>
      <c r="I50" s="111"/>
      <c r="J50" s="230"/>
      <c r="K50" s="55"/>
    </row>
    <row r="51" spans="2:11" ht="17.25" thickBot="1" x14ac:dyDescent="0.35">
      <c r="B51" s="221"/>
      <c r="C51" s="222"/>
      <c r="D51" s="116"/>
      <c r="E51" s="223"/>
      <c r="F51" s="116"/>
      <c r="G51" s="116"/>
      <c r="H51" s="116"/>
      <c r="I51" s="116"/>
      <c r="J51" s="231"/>
      <c r="K51" s="55"/>
    </row>
  </sheetData>
  <mergeCells count="1">
    <mergeCell ref="B35:K35"/>
  </mergeCells>
  <pageMargins left="0.25" right="0.25" top="0.75" bottom="0.75" header="0.3" footer="0.3"/>
  <pageSetup paperSize="9" scale="94" orientation="portrait" horizontalDpi="4294967293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16" workbookViewId="0">
      <selection activeCell="E29" sqref="E29"/>
    </sheetView>
  </sheetViews>
  <sheetFormatPr defaultRowHeight="12.75" x14ac:dyDescent="0.2"/>
  <cols>
    <col min="1" max="1" width="10.28515625" customWidth="1"/>
  </cols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05D5324E-7C26-40DA-B96C-58D749685B88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</vt:i4>
      </vt:variant>
    </vt:vector>
  </HeadingPairs>
  <TitlesOfParts>
    <vt:vector size="11" baseType="lpstr">
      <vt:lpstr>2015</vt:lpstr>
      <vt:lpstr>2016</vt:lpstr>
      <vt:lpstr>2017</vt:lpstr>
      <vt:lpstr>Home-2018</vt:lpstr>
      <vt:lpstr>2019</vt:lpstr>
      <vt:lpstr>OLd</vt:lpstr>
      <vt:lpstr>.</vt:lpstr>
      <vt:lpstr>..</vt:lpstr>
      <vt:lpstr>Old-03</vt:lpstr>
      <vt:lpstr>Visa &amp;RC</vt:lpstr>
      <vt:lpstr>'2016'!Print_Area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2010-2019 calendar</dc:title>
  <dc:creator>bejoy</dc:creator>
  <cp:keywords/>
  <cp:lastModifiedBy>Bejoy George</cp:lastModifiedBy>
  <cp:lastPrinted>2017-11-23T13:17:55Z</cp:lastPrinted>
  <dcterms:created xsi:type="dcterms:W3CDTF">2014-03-27T06:40:59Z</dcterms:created>
  <dcterms:modified xsi:type="dcterms:W3CDTF">2017-12-11T12:09:52Z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TC011629001033</vt:lpwstr>
  </property>
</Properties>
</file>