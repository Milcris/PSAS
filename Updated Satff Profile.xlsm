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joy\Documents\GitHub\PSAS\"/>
    </mc:Choice>
  </mc:AlternateContent>
  <bookViews>
    <workbookView xWindow="480" yWindow="120" windowWidth="11355" windowHeight="8700" firstSheet="3" activeTab="3"/>
  </bookViews>
  <sheets>
    <sheet name="2015" sheetId="12" state="hidden" r:id="rId1"/>
    <sheet name="2016" sheetId="13" state="hidden" r:id="rId2"/>
    <sheet name="2017" sheetId="15" state="hidden" r:id="rId3"/>
    <sheet name="Home" sheetId="16" r:id="rId4"/>
    <sheet name="2019" sheetId="17" state="hidden" r:id="rId5"/>
    <sheet name="." sheetId="24" r:id="rId6"/>
    <sheet name="Old Leave Calculation" sheetId="18" state="hidden" r:id="rId7"/>
    <sheet name="Audited 15-16" sheetId="21" state="hidden" r:id="rId8"/>
    <sheet name="Audited 16-17" sheetId="23" state="hidden" r:id="rId9"/>
    <sheet name=".." sheetId="19" r:id="rId10"/>
    <sheet name="Visa &amp; RC" sheetId="20" state="hidden" r:id="rId11"/>
    <sheet name="Increment" sheetId="22" state="hidden" r:id="rId12"/>
  </sheets>
  <functionGroups builtInGroupCount="18"/>
  <externalReferences>
    <externalReference r:id="rId13"/>
    <externalReference r:id="rId14"/>
    <externalReference r:id="rId15"/>
  </externalReferences>
  <definedNames>
    <definedName name="_xlnm.Print_Area" localSheetId="5">'.'!$A$1:$J$60</definedName>
    <definedName name="_xlnm.Print_Area" localSheetId="1">'2016'!$B$1:$P$52</definedName>
    <definedName name="_xlnm.Print_Area" localSheetId="6">'Old Leave Calculation'!$A$1:$M$59</definedName>
  </definedNames>
  <calcPr calcId="171027" iterate="1"/>
</workbook>
</file>

<file path=xl/calcChain.xml><?xml version="1.0" encoding="utf-8"?>
<calcChain xmlns="http://schemas.openxmlformats.org/spreadsheetml/2006/main">
  <c r="Z19" i="16" l="1"/>
  <c r="C41" i="24" l="1"/>
  <c r="D41" i="24"/>
  <c r="E41" i="24"/>
  <c r="F41" i="24"/>
  <c r="G41" i="24"/>
  <c r="H41" i="24"/>
  <c r="I41" i="24"/>
  <c r="J41" i="24"/>
  <c r="J30" i="24"/>
  <c r="J31" i="24"/>
  <c r="J32" i="24"/>
  <c r="J33" i="24"/>
  <c r="J34" i="24"/>
  <c r="J35" i="24"/>
  <c r="J36" i="24"/>
  <c r="J37" i="24"/>
  <c r="J38" i="24"/>
  <c r="J39" i="24"/>
  <c r="J40" i="24"/>
  <c r="J29" i="24"/>
  <c r="I38" i="24" l="1"/>
  <c r="I39" i="24"/>
  <c r="I40" i="24"/>
  <c r="V22" i="16" l="1"/>
  <c r="W16" i="16"/>
  <c r="X16" i="16" s="1"/>
  <c r="W15" i="16"/>
  <c r="W14" i="16"/>
  <c r="W13" i="16"/>
  <c r="W12" i="16"/>
  <c r="W11" i="16"/>
  <c r="W10" i="16"/>
  <c r="W9" i="16"/>
  <c r="W8" i="16"/>
  <c r="W7" i="16"/>
  <c r="W6" i="16"/>
  <c r="W5" i="16"/>
  <c r="Z19" i="15"/>
  <c r="X14" i="16"/>
  <c r="X15" i="16"/>
  <c r="X12" i="16"/>
  <c r="X5" i="16"/>
  <c r="X7" i="16"/>
  <c r="X13" i="16"/>
  <c r="X8" i="16"/>
  <c r="X6" i="16"/>
  <c r="AA8" i="16" l="1"/>
  <c r="AA7" i="16"/>
  <c r="AA13" i="16"/>
  <c r="AA5" i="16"/>
  <c r="AA15" i="16"/>
  <c r="AA14" i="16"/>
  <c r="AA6" i="16"/>
  <c r="AA12" i="16"/>
  <c r="I18" i="24"/>
  <c r="J18" i="24" s="1"/>
  <c r="I17" i="24"/>
  <c r="J17" i="24" s="1"/>
  <c r="I16" i="24"/>
  <c r="J16" i="24" s="1"/>
  <c r="I14" i="24"/>
  <c r="J14" i="24" s="1"/>
  <c r="I13" i="24"/>
  <c r="J13" i="24" s="1"/>
  <c r="I12" i="24"/>
  <c r="J12" i="24" s="1"/>
  <c r="I11" i="24"/>
  <c r="J11" i="24" s="1"/>
  <c r="C10" i="24"/>
  <c r="J8" i="24"/>
  <c r="I10" i="24" l="1"/>
  <c r="C23" i="23"/>
  <c r="D23" i="23"/>
  <c r="E23" i="23"/>
  <c r="F23" i="23"/>
  <c r="G23" i="23"/>
  <c r="H23" i="23"/>
  <c r="J10" i="24" l="1"/>
  <c r="I37" i="24"/>
  <c r="I36" i="24" l="1"/>
  <c r="J26" i="23" l="1"/>
  <c r="I35" i="24" l="1"/>
  <c r="I34" i="24"/>
  <c r="I33" i="24"/>
  <c r="I32" i="24"/>
  <c r="J46" i="24"/>
  <c r="D53" i="24"/>
  <c r="D52" i="24"/>
  <c r="D51" i="24"/>
  <c r="D50" i="24"/>
  <c r="J44" i="24"/>
  <c r="I31" i="24"/>
  <c r="I30" i="24"/>
  <c r="I29" i="24"/>
  <c r="J28" i="24"/>
  <c r="I27" i="24"/>
  <c r="J27" i="24" s="1"/>
  <c r="I26" i="24"/>
  <c r="J26" i="24" s="1"/>
  <c r="I25" i="24"/>
  <c r="J25" i="24" s="1"/>
  <c r="I24" i="24"/>
  <c r="J24" i="24" s="1"/>
  <c r="I23" i="24"/>
  <c r="J23" i="24" s="1"/>
  <c r="I22" i="24"/>
  <c r="J22" i="24" s="1"/>
  <c r="I21" i="24"/>
  <c r="J21" i="24" s="1"/>
  <c r="I20" i="24"/>
  <c r="J20" i="24" s="1"/>
  <c r="I19" i="24"/>
  <c r="J19" i="24" l="1"/>
  <c r="D54" i="24"/>
  <c r="J47" i="24" l="1"/>
  <c r="I20" i="23"/>
  <c r="J20" i="23" s="1"/>
  <c r="I21" i="23"/>
  <c r="J21" i="23" s="1"/>
  <c r="I22" i="23"/>
  <c r="J22" i="23" s="1"/>
  <c r="D32" i="23" l="1"/>
  <c r="D35" i="23"/>
  <c r="I18" i="23"/>
  <c r="J18" i="23" s="1"/>
  <c r="I17" i="23"/>
  <c r="J17" i="23" s="1"/>
  <c r="I16" i="23"/>
  <c r="J16" i="23"/>
  <c r="I15" i="23"/>
  <c r="J15" i="23" s="1"/>
  <c r="I14" i="23"/>
  <c r="J14" i="23" s="1"/>
  <c r="J28" i="23"/>
  <c r="D34" i="23"/>
  <c r="D33" i="23"/>
  <c r="I13" i="23"/>
  <c r="J13" i="23" s="1"/>
  <c r="I12" i="23"/>
  <c r="J12" i="23" s="1"/>
  <c r="I11" i="23"/>
  <c r="J11" i="23" s="1"/>
  <c r="I10" i="23"/>
  <c r="I23" i="23" s="1"/>
  <c r="J10" i="23" l="1"/>
  <c r="D36" i="23"/>
  <c r="J29" i="23" l="1"/>
  <c r="J23" i="23"/>
  <c r="V22" i="15"/>
  <c r="W16" i="15"/>
  <c r="X16" i="15" s="1"/>
  <c r="W15" i="15"/>
  <c r="W14" i="15"/>
  <c r="W13" i="15"/>
  <c r="W12" i="15"/>
  <c r="W11" i="15"/>
  <c r="W10" i="15"/>
  <c r="W9" i="15"/>
  <c r="W8" i="15"/>
  <c r="W7" i="15"/>
  <c r="W6" i="15"/>
  <c r="W5" i="15"/>
  <c r="I3" i="22"/>
  <c r="I2" i="22"/>
  <c r="J28" i="21"/>
  <c r="H23" i="21"/>
  <c r="D35" i="21" s="1"/>
  <c r="G23" i="21"/>
  <c r="D34" i="21" s="1"/>
  <c r="F23" i="21"/>
  <c r="D33" i="21" s="1"/>
  <c r="E23" i="21"/>
  <c r="D32" i="21" s="1"/>
  <c r="D23" i="21"/>
  <c r="J26" i="21" s="1"/>
  <c r="C23" i="21"/>
  <c r="I22" i="21"/>
  <c r="J22" i="21" s="1"/>
  <c r="I21" i="21"/>
  <c r="J21" i="21" s="1"/>
  <c r="I20" i="21"/>
  <c r="J20" i="21" s="1"/>
  <c r="I19" i="21"/>
  <c r="J19" i="21" s="1"/>
  <c r="I18" i="21"/>
  <c r="J18" i="21" s="1"/>
  <c r="I17" i="21"/>
  <c r="J17" i="21" s="1"/>
  <c r="I16" i="21"/>
  <c r="J16" i="21" s="1"/>
  <c r="I15" i="21"/>
  <c r="J15" i="21" s="1"/>
  <c r="I14" i="21"/>
  <c r="J14" i="21" s="1"/>
  <c r="I13" i="21"/>
  <c r="J13" i="21" s="1"/>
  <c r="I12" i="21"/>
  <c r="J12" i="21" s="1"/>
  <c r="I11" i="21"/>
  <c r="J11" i="21" s="1"/>
  <c r="I10" i="21"/>
  <c r="J10" i="21" s="1"/>
  <c r="C40" i="18"/>
  <c r="D40" i="18"/>
  <c r="E40" i="18"/>
  <c r="F40" i="18"/>
  <c r="G40" i="18"/>
  <c r="H40" i="18"/>
  <c r="I32" i="18"/>
  <c r="J32" i="18" s="1"/>
  <c r="I33" i="18"/>
  <c r="J33" i="18" s="1"/>
  <c r="I34" i="18"/>
  <c r="J34" i="18" s="1"/>
  <c r="I35" i="18"/>
  <c r="J35" i="18" s="1"/>
  <c r="I36" i="18"/>
  <c r="J36" i="18" s="1"/>
  <c r="I37" i="18"/>
  <c r="J37" i="18" s="1"/>
  <c r="I38" i="18"/>
  <c r="J38" i="18" s="1"/>
  <c r="I39" i="18"/>
  <c r="J39" i="18" s="1"/>
  <c r="I31" i="18"/>
  <c r="J31" i="18" s="1"/>
  <c r="I30" i="18"/>
  <c r="J30" i="18" s="1"/>
  <c r="I29" i="18"/>
  <c r="J29" i="18" s="1"/>
  <c r="I28" i="18"/>
  <c r="J28" i="18" s="1"/>
  <c r="I27" i="18"/>
  <c r="J27" i="18" s="1"/>
  <c r="V22" i="13"/>
  <c r="W16" i="13"/>
  <c r="X16" i="13" s="1"/>
  <c r="X15" i="15"/>
  <c r="X5" i="15"/>
  <c r="X6" i="15"/>
  <c r="X13" i="15"/>
  <c r="X15" i="13"/>
  <c r="X14" i="15"/>
  <c r="X12" i="15"/>
  <c r="X8" i="15"/>
  <c r="X7" i="15"/>
  <c r="AA5" i="15" l="1"/>
  <c r="AA15" i="15"/>
  <c r="AA8" i="15"/>
  <c r="AA14" i="15"/>
  <c r="AA13" i="15"/>
  <c r="AA7" i="15"/>
  <c r="AA6" i="15"/>
  <c r="AA12" i="15"/>
  <c r="J23" i="21"/>
  <c r="J29" i="21" s="1"/>
  <c r="D36" i="21"/>
  <c r="I23" i="21"/>
  <c r="W15" i="13"/>
  <c r="AA15" i="13" s="1"/>
  <c r="X14" i="13"/>
  <c r="W14" i="13" l="1"/>
  <c r="AA14" i="13" s="1"/>
  <c r="X13" i="13"/>
  <c r="W13" i="13" l="1"/>
  <c r="AA13" i="13" s="1"/>
  <c r="X12" i="13"/>
  <c r="W12" i="13" l="1"/>
  <c r="AA12" i="13" s="1"/>
  <c r="W11" i="13"/>
  <c r="W10" i="13"/>
  <c r="W9" i="13"/>
  <c r="W8" i="13"/>
  <c r="X7" i="13"/>
  <c r="W7" i="13" l="1"/>
  <c r="AA7" i="13" s="1"/>
  <c r="X6" i="13"/>
  <c r="W6" i="13" l="1"/>
  <c r="AA6" i="13" s="1"/>
  <c r="X5" i="13"/>
  <c r="W5" i="13" l="1"/>
  <c r="AA5" i="13" s="1"/>
  <c r="I11" i="18"/>
  <c r="J11" i="18" s="1"/>
  <c r="I12" i="18"/>
  <c r="J12" i="18" s="1"/>
  <c r="I13" i="18"/>
  <c r="I14" i="18"/>
  <c r="J14" i="18" s="1"/>
  <c r="I15" i="18"/>
  <c r="I16" i="18"/>
  <c r="J16" i="18" s="1"/>
  <c r="I17" i="18"/>
  <c r="J17" i="18" s="1"/>
  <c r="I18" i="18"/>
  <c r="I19" i="18"/>
  <c r="J19" i="18" s="1"/>
  <c r="I20" i="18"/>
  <c r="I21" i="18"/>
  <c r="I22" i="18"/>
  <c r="J22" i="18" s="1"/>
  <c r="I23" i="18"/>
  <c r="J23" i="18" s="1"/>
  <c r="I24" i="18"/>
  <c r="J24" i="18" s="1"/>
  <c r="I25" i="18"/>
  <c r="J25" i="18" s="1"/>
  <c r="I26" i="18"/>
  <c r="I10" i="18"/>
  <c r="J43" i="18"/>
  <c r="D49" i="18"/>
  <c r="D50" i="18"/>
  <c r="D51" i="18"/>
  <c r="D52" i="18"/>
  <c r="J13" i="18"/>
  <c r="J45" i="18"/>
  <c r="J21" i="18"/>
  <c r="J20" i="18"/>
  <c r="J18" i="18"/>
  <c r="J10" i="18" l="1"/>
  <c r="I40" i="18"/>
  <c r="J26" i="18"/>
  <c r="D53" i="18"/>
  <c r="J15" i="18"/>
  <c r="X13" i="12"/>
  <c r="X5" i="12"/>
  <c r="J40" i="18" l="1"/>
  <c r="W13" i="12"/>
  <c r="AA13" i="12" s="1"/>
  <c r="X12" i="12"/>
  <c r="W12" i="12" l="1"/>
  <c r="AA12" i="12" s="1"/>
  <c r="W11" i="12"/>
  <c r="W10" i="12"/>
  <c r="W9" i="12"/>
  <c r="W8" i="12"/>
  <c r="X7" i="12"/>
  <c r="W7" i="12" l="1"/>
  <c r="AA7" i="12" s="1"/>
  <c r="X6" i="12"/>
  <c r="W6" i="12" l="1"/>
  <c r="AA6" i="12" s="1"/>
  <c r="W5" i="12" l="1"/>
  <c r="AA5" i="12" s="1"/>
  <c r="J46" i="18" l="1"/>
  <c r="Z19" i="13" l="1"/>
  <c r="Z20" i="13" s="1"/>
  <c r="Z22" i="13" s="1"/>
  <c r="Z20" i="15" l="1"/>
  <c r="Z22" i="15" s="1"/>
  <c r="Z20" i="16" l="1"/>
  <c r="Z22" i="16" s="1"/>
</calcChain>
</file>

<file path=xl/comments1.xml><?xml version="1.0" encoding="utf-8"?>
<comments xmlns="http://schemas.openxmlformats.org/spreadsheetml/2006/main">
  <authors>
    <author>bejoy</author>
  </authors>
  <commentList>
    <comment ref="J24" authorId="0" shapeId="0">
      <text>
        <r>
          <rPr>
            <b/>
            <sz val="8"/>
            <color indexed="81"/>
            <rFont val="Tahoma"/>
            <family val="2"/>
          </rPr>
          <t>bejoy:</t>
        </r>
        <r>
          <rPr>
            <sz val="8"/>
            <color indexed="81"/>
            <rFont val="Tahoma"/>
            <family val="2"/>
          </rPr>
          <t xml:space="preserve">
With medical - car accident</t>
        </r>
      </text>
    </comment>
  </commentList>
</comments>
</file>

<file path=xl/comments2.xml><?xml version="1.0" encoding="utf-8"?>
<comments xmlns="http://schemas.openxmlformats.org/spreadsheetml/2006/main">
  <authors>
    <author>Prasad</author>
  </authors>
  <commentList>
    <comment ref="B49" authorId="0" shapeId="0">
      <text>
        <r>
          <rPr>
            <b/>
            <sz val="9"/>
            <color indexed="81"/>
            <rFont val="Tahoma"/>
            <family val="2"/>
          </rPr>
          <t>Prasad:</t>
        </r>
        <r>
          <rPr>
            <sz val="9"/>
            <color indexed="81"/>
            <rFont val="Tahoma"/>
            <family val="2"/>
          </rPr>
          <t xml:space="preserve">
rejoined</t>
        </r>
      </text>
    </comment>
  </commentList>
</comments>
</file>

<file path=xl/comments3.xml><?xml version="1.0" encoding="utf-8"?>
<comments xmlns="http://schemas.openxmlformats.org/spreadsheetml/2006/main">
  <authors>
    <author>bejoy</author>
  </authors>
  <commentList>
    <comment ref="H2" authorId="0" shapeId="0">
      <text>
        <r>
          <rPr>
            <b/>
            <sz val="8"/>
            <color indexed="81"/>
            <rFont val="Tahoma"/>
            <family val="2"/>
          </rPr>
          <t>bejoy:</t>
        </r>
        <r>
          <rPr>
            <sz val="8"/>
            <color indexed="81"/>
            <rFont val="Tahoma"/>
            <family val="2"/>
          </rPr>
          <t xml:space="preserve">
01 June 2014
OMR 150/-  - Special allowance, this allowance widthrawn after project completed
</t>
        </r>
      </text>
    </comment>
  </commentList>
</comments>
</file>

<file path=xl/sharedStrings.xml><?xml version="1.0" encoding="utf-8"?>
<sst xmlns="http://schemas.openxmlformats.org/spreadsheetml/2006/main" count="1004" uniqueCount="193">
  <si>
    <t>JANUARY</t>
  </si>
  <si>
    <t>FEBRUARY</t>
  </si>
  <si>
    <t>S</t>
  </si>
  <si>
    <t>M</t>
  </si>
  <si>
    <t>T</t>
  </si>
  <si>
    <t>W</t>
  </si>
  <si>
    <t>F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</si>
  <si>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</si>
  <si>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</si>
  <si>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</si>
  <si>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</si>
  <si>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</si>
  <si>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</si>
  <si>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</si>
  <si>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</si>
  <si>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</si>
  <si>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</si>
  <si>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Annual Leave </t>
  </si>
  <si>
    <t xml:space="preserve">Sick Leave </t>
  </si>
  <si>
    <t>No Pay</t>
  </si>
  <si>
    <t>Recommencement of Duty</t>
  </si>
  <si>
    <t>Lieu Leave</t>
  </si>
  <si>
    <t>Emergency Leave</t>
  </si>
  <si>
    <t>Vaccation due</t>
  </si>
  <si>
    <t>Number of Days</t>
  </si>
  <si>
    <t>Employee's Leave details :</t>
  </si>
  <si>
    <t>Halfday</t>
  </si>
  <si>
    <t>Total (days)</t>
  </si>
  <si>
    <t>EMP #: 13</t>
  </si>
  <si>
    <t xml:space="preserve">Leave Entitlement as at  </t>
  </si>
  <si>
    <t>Name</t>
  </si>
  <si>
    <t>K K Sanjeewa Prasanga</t>
  </si>
  <si>
    <t xml:space="preserve">Emp No. </t>
  </si>
  <si>
    <t>Date Joined</t>
  </si>
  <si>
    <t>Rejoining date</t>
  </si>
  <si>
    <t>Ser</t>
  </si>
  <si>
    <t>Month</t>
  </si>
  <si>
    <t>Days per</t>
  </si>
  <si>
    <t>AL/LL</t>
  </si>
  <si>
    <t>SL</t>
  </si>
  <si>
    <t>EL</t>
  </si>
  <si>
    <t>NPL</t>
  </si>
  <si>
    <t>Other</t>
  </si>
  <si>
    <t xml:space="preserve">Days </t>
  </si>
  <si>
    <t>Earned Leave</t>
  </si>
  <si>
    <t>No.</t>
  </si>
  <si>
    <t>worked</t>
  </si>
  <si>
    <t>September</t>
  </si>
  <si>
    <t>October</t>
  </si>
  <si>
    <t>November</t>
  </si>
  <si>
    <t>December</t>
  </si>
  <si>
    <t>January</t>
  </si>
  <si>
    <t>February</t>
  </si>
  <si>
    <t>March</t>
  </si>
  <si>
    <t>April</t>
  </si>
  <si>
    <t>May</t>
  </si>
  <si>
    <t>June</t>
  </si>
  <si>
    <t>July</t>
  </si>
  <si>
    <t>Total……………….</t>
  </si>
  <si>
    <t>Less :- Annual leave &amp; local leave</t>
  </si>
  <si>
    <t>Annual  Leave-AL</t>
  </si>
  <si>
    <t>Local Leave-LL</t>
  </si>
  <si>
    <t>Total Earned Leave balance………………………………………………………………</t>
  </si>
  <si>
    <t>Other Leave</t>
  </si>
  <si>
    <t>Sick Leave-SL</t>
  </si>
  <si>
    <t>Emergency Leave-EL</t>
  </si>
  <si>
    <t>No pay Leave-NPL</t>
  </si>
  <si>
    <t>Total  other leave</t>
  </si>
  <si>
    <t>…………………….</t>
  </si>
  <si>
    <t>………………………..</t>
  </si>
  <si>
    <t>Prepared By</t>
  </si>
  <si>
    <t>Checked  by</t>
  </si>
  <si>
    <t>Leave balance B/F as at 31.03.2014</t>
  </si>
  <si>
    <t>August</t>
  </si>
  <si>
    <t>Employee details:</t>
  </si>
  <si>
    <t>Name(PP)              :</t>
  </si>
  <si>
    <t xml:space="preserve">Designation            : </t>
  </si>
  <si>
    <t>Quantity Surveyor</t>
  </si>
  <si>
    <t xml:space="preserve">Date of Joining       : </t>
  </si>
  <si>
    <t>Nationality             :</t>
  </si>
  <si>
    <t>Sri Lankan</t>
  </si>
  <si>
    <t xml:space="preserve">Working Location    : </t>
  </si>
  <si>
    <t xml:space="preserve">Original Passport     : </t>
  </si>
  <si>
    <t>OUT</t>
  </si>
  <si>
    <t>Air Ticket               :</t>
  </si>
  <si>
    <t>Employer</t>
  </si>
  <si>
    <t>A.Leave Entitlement :</t>
  </si>
  <si>
    <t xml:space="preserve">Status                    : </t>
  </si>
  <si>
    <t>Bachelor</t>
  </si>
  <si>
    <t xml:space="preserve"> Visa expiry date    :</t>
  </si>
  <si>
    <t>Passport Number     :</t>
  </si>
  <si>
    <t>Passport Expiry date :</t>
  </si>
  <si>
    <t xml:space="preserve">Contcat number       : </t>
  </si>
  <si>
    <t>DOB                     :</t>
  </si>
  <si>
    <t xml:space="preserve">Medical Insurance    : </t>
  </si>
  <si>
    <t>YES RN -2</t>
  </si>
  <si>
    <t>Konpitiya Kankanamalage/ Sanjeewa Prasanga</t>
  </si>
  <si>
    <t>25.04.2007</t>
  </si>
  <si>
    <t>Salalah Airport Project</t>
  </si>
  <si>
    <t>After 11 months</t>
  </si>
  <si>
    <t>Reported after last leave : 24.08.2015</t>
  </si>
  <si>
    <t>05.03.2016</t>
  </si>
  <si>
    <t>N1684816</t>
  </si>
  <si>
    <t>01.06.2016</t>
  </si>
  <si>
    <t>24.09.1979</t>
  </si>
  <si>
    <t xml:space="preserve">Accomondation : </t>
  </si>
  <si>
    <t>Salalah</t>
  </si>
  <si>
    <t xml:space="preserve">Emergency contact (SL) : </t>
  </si>
  <si>
    <t xml:space="preserve">e-mail                    : </t>
  </si>
  <si>
    <t xml:space="preserve">sanjeewa@milcris.org </t>
  </si>
  <si>
    <t xml:space="preserve">Worked in Sri Lanka - Ragama </t>
  </si>
  <si>
    <t>Others</t>
  </si>
  <si>
    <t>Leave balance as at 31.12.2015</t>
  </si>
  <si>
    <t>days</t>
  </si>
  <si>
    <t>Days worked from 01.01.2016 to until now</t>
  </si>
  <si>
    <t>Earned Leave as at today</t>
  </si>
  <si>
    <t>Previous calendar day before leave starts</t>
  </si>
  <si>
    <t>Expected Earned leave as at</t>
  </si>
  <si>
    <t xml:space="preserve">Date </t>
  </si>
  <si>
    <t>LPO#</t>
  </si>
  <si>
    <t>Outbound</t>
  </si>
  <si>
    <t xml:space="preserve">Inbound </t>
  </si>
  <si>
    <t>Inbound</t>
  </si>
  <si>
    <t>Route</t>
  </si>
  <si>
    <t>Purpose</t>
  </si>
  <si>
    <t>Date change</t>
  </si>
  <si>
    <t>EMP #:13</t>
  </si>
  <si>
    <t>28.02.2018</t>
  </si>
  <si>
    <t>09.07.2016</t>
  </si>
  <si>
    <t>24.08.2016</t>
  </si>
  <si>
    <t>Amount (OMR)</t>
  </si>
  <si>
    <t>Agent</t>
  </si>
  <si>
    <t>Remarks</t>
  </si>
  <si>
    <t>Annual Leave</t>
  </si>
  <si>
    <t>Mezoon</t>
  </si>
  <si>
    <t>08.05.2016</t>
  </si>
  <si>
    <t>82/5-16</t>
  </si>
  <si>
    <t>05.07.2016</t>
  </si>
  <si>
    <t>26.07.2016</t>
  </si>
  <si>
    <t>SLL/MCT/CMB/MCT/SLL</t>
  </si>
  <si>
    <t>83/5-16</t>
  </si>
  <si>
    <t>24.09.2016</t>
  </si>
  <si>
    <t>Enttitlement ticket</t>
  </si>
  <si>
    <t>Leave balance B/F as at 31.03.2015</t>
  </si>
  <si>
    <t>31.03.2016</t>
  </si>
  <si>
    <t>BS</t>
  </si>
  <si>
    <t>FA</t>
  </si>
  <si>
    <t>HRA</t>
  </si>
  <si>
    <t>TA</t>
  </si>
  <si>
    <t>PA</t>
  </si>
  <si>
    <t>CSA</t>
  </si>
  <si>
    <t>OA</t>
  </si>
  <si>
    <t>Gross Salary</t>
  </si>
  <si>
    <t>Total increment within 2 YRS</t>
  </si>
  <si>
    <t>Years</t>
  </si>
  <si>
    <t>AL</t>
  </si>
  <si>
    <t>LL</t>
  </si>
  <si>
    <t>Short Leave</t>
  </si>
  <si>
    <t>DJ</t>
  </si>
  <si>
    <t>Airticket details :</t>
  </si>
  <si>
    <t>Amount</t>
  </si>
  <si>
    <t>Leave balance B/F as at 31.03.2016</t>
  </si>
  <si>
    <t>Leave balance as at 31.03.2016</t>
  </si>
  <si>
    <t>Days worked from 01.01.2017 to until now</t>
  </si>
  <si>
    <t>31.03.2017</t>
  </si>
  <si>
    <t>23.05.2017</t>
  </si>
  <si>
    <t>A11/05-17</t>
  </si>
  <si>
    <t>18.09.2017</t>
  </si>
  <si>
    <t>21.06.2017</t>
  </si>
  <si>
    <t>Annual Ent.</t>
  </si>
  <si>
    <t>Eihab Travel</t>
  </si>
  <si>
    <t>28.05.2017</t>
  </si>
  <si>
    <t>A22/05-17</t>
  </si>
  <si>
    <t>25.06.2017</t>
  </si>
  <si>
    <t>20.07.2017</t>
  </si>
  <si>
    <t xml:space="preserve">Employee </t>
  </si>
  <si>
    <t>Family Members</t>
  </si>
  <si>
    <t>04.09.2017</t>
  </si>
  <si>
    <t>Leave balance B/F as at 24/08/2015</t>
  </si>
  <si>
    <t>20.08.2017</t>
  </si>
  <si>
    <t>A51/08-17</t>
  </si>
  <si>
    <t>N/A</t>
  </si>
  <si>
    <t>28.09..2017</t>
  </si>
  <si>
    <t>Majan Int.</t>
  </si>
  <si>
    <t>MCT/CMB</t>
  </si>
  <si>
    <t>Final Rapatriation</t>
  </si>
  <si>
    <t>2.11.2017</t>
  </si>
  <si>
    <t>A60/11-17</t>
  </si>
  <si>
    <t>07.11.2017</t>
  </si>
  <si>
    <t>Return to Duty</t>
  </si>
  <si>
    <t>Vajira</t>
  </si>
  <si>
    <t>CMB/MCT</t>
  </si>
  <si>
    <t xml:space="preserve">October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</si>
</sst>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dd/mm/yyyy;@"/>
  </numFmts>
  <fonts count="31" x14ac:knownFonts="1">
    <font>
      <sz val="10"/>
      <name val="Arial"/>
    </font>
    <font>
      <sz val="10"/>
      <name val="Tw Cen MT"/>
      <family val="2"/>
      <scheme val="minor"/>
    </font>
    <font>
      <sz val="8"/>
      <name val="Tw Cen MT"/>
      <family val="2"/>
      <scheme val="minor"/>
    </font>
    <font>
      <b/>
      <sz val="26"/>
      <color theme="4" tint="-0.499984740745262"/>
      <name val="Tw Cen MT"/>
      <family val="2"/>
      <scheme val="major"/>
    </font>
    <font>
      <b/>
      <sz val="10"/>
      <color indexed="9"/>
      <name val="Tw Cen MT"/>
      <family val="2"/>
      <scheme val="major"/>
    </font>
    <font>
      <sz val="11"/>
      <name val="Tw Cen MT"/>
      <family val="2"/>
      <scheme val="minor"/>
    </font>
    <font>
      <sz val="10"/>
      <name val="Arial"/>
      <family val="2"/>
    </font>
    <font>
      <b/>
      <sz val="14"/>
      <color rgb="FFFF0000"/>
      <name val="Tw Cen MT"/>
      <family val="2"/>
      <scheme val="minor"/>
    </font>
    <font>
      <b/>
      <u/>
      <sz val="12"/>
      <name val="Tw Cen MT"/>
      <family val="2"/>
      <scheme val="minor"/>
    </font>
    <font>
      <sz val="11"/>
      <color theme="1"/>
      <name val="Book Antiqua"/>
      <family val="1"/>
    </font>
    <font>
      <b/>
      <sz val="11"/>
      <color theme="1"/>
      <name val="Book Antiqua"/>
      <family val="1"/>
    </font>
    <font>
      <b/>
      <sz val="11"/>
      <color theme="1"/>
      <name val="Tahoma"/>
      <family val="2"/>
    </font>
    <font>
      <sz val="11"/>
      <color theme="1"/>
      <name val="Tahoma"/>
      <family val="2"/>
    </font>
    <font>
      <b/>
      <sz val="10"/>
      <name val="Tw Cen MT"/>
      <family val="2"/>
      <scheme val="minor"/>
    </font>
    <font>
      <sz val="10"/>
      <color theme="1"/>
      <name val="Locator Regular"/>
      <family val="3"/>
    </font>
    <font>
      <u/>
      <sz val="10"/>
      <color theme="10"/>
      <name val="Arial"/>
      <family val="2"/>
    </font>
    <font>
      <u/>
      <sz val="10"/>
      <color rgb="FF0070C0"/>
      <name val="Arial"/>
      <family val="2"/>
    </font>
    <font>
      <b/>
      <sz val="12"/>
      <name val="Tw Cen MT"/>
      <family val="2"/>
      <scheme val="minor"/>
    </font>
    <font>
      <sz val="11.5"/>
      <name val="Tw Cen MT"/>
      <family val="2"/>
      <scheme val="major"/>
    </font>
    <font>
      <sz val="10"/>
      <name val="Tw Cen MT"/>
      <family val="2"/>
      <scheme val="maj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theme="0"/>
      <name val="Locator Regular"/>
      <family val="3"/>
    </font>
    <font>
      <sz val="11.5"/>
      <color theme="1"/>
      <name val="Comic Sans MS"/>
      <family val="4"/>
    </font>
    <font>
      <sz val="11"/>
      <color theme="1"/>
      <name val="Locator Regular"/>
      <family val="3"/>
    </font>
    <font>
      <sz val="10"/>
      <color theme="1"/>
      <name val="Tw Cen MT"/>
      <family val="2"/>
      <scheme val="major"/>
    </font>
    <font>
      <sz val="10"/>
      <color theme="1"/>
      <name val="Tw Cen MT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name val="Tw Cen MT"/>
      <family val="2"/>
      <scheme val="minor"/>
    </font>
    <font>
      <sz val="10"/>
      <name val="Locator Regular"/>
      <family val="3"/>
    </font>
  </fonts>
  <fills count="2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11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0" tint="-4.9989318521683403E-2"/>
        <bgColor indexed="22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9"/>
      </patternFill>
    </fill>
    <fill>
      <patternFill patternType="solid">
        <fgColor rgb="FF00B0F0"/>
        <bgColor indexed="2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99FF"/>
        <bgColor indexed="64"/>
      </patternFill>
    </fill>
  </fills>
  <borders count="69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hair">
        <color indexed="42"/>
      </left>
      <right style="hair">
        <color indexed="42"/>
      </right>
      <top style="hair">
        <color indexed="42"/>
      </top>
      <bottom style="hair">
        <color indexed="42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/>
      <bottom/>
      <diagonal/>
    </border>
    <border>
      <left style="hair">
        <color theme="7" tint="-0.24994659260841701"/>
      </left>
      <right style="hair">
        <color theme="7" tint="-0.24994659260841701"/>
      </right>
      <top style="hair">
        <color theme="7" tint="-0.24994659260841701"/>
      </top>
      <bottom style="hair">
        <color theme="7" tint="-0.24994659260841701"/>
      </bottom>
      <diagonal/>
    </border>
    <border>
      <left style="hair">
        <color theme="7" tint="-0.24994659260841701"/>
      </left>
      <right/>
      <top style="hair">
        <color theme="7" tint="-0.24994659260841701"/>
      </top>
      <bottom style="hair">
        <color theme="7" tint="-0.24994659260841701"/>
      </bottom>
      <diagonal/>
    </border>
    <border>
      <left/>
      <right/>
      <top style="hair">
        <color theme="7" tint="-0.24994659260841701"/>
      </top>
      <bottom style="hair">
        <color theme="7" tint="-0.24994659260841701"/>
      </bottom>
      <diagonal/>
    </border>
    <border>
      <left/>
      <right style="hair">
        <color theme="7" tint="-0.24994659260841701"/>
      </right>
      <top style="hair">
        <color theme="7" tint="-0.24994659260841701"/>
      </top>
      <bottom style="hair">
        <color theme="7" tint="-0.24994659260841701"/>
      </bottom>
      <diagonal/>
    </border>
    <border>
      <left style="hair">
        <color indexed="42"/>
      </left>
      <right/>
      <top style="hair">
        <color indexed="42"/>
      </top>
      <bottom/>
      <diagonal/>
    </border>
    <border>
      <left/>
      <right/>
      <top style="hair">
        <color indexed="42"/>
      </top>
      <bottom/>
      <diagonal/>
    </border>
    <border>
      <left/>
      <right style="hair">
        <color indexed="42"/>
      </right>
      <top style="hair">
        <color indexed="42"/>
      </top>
      <bottom/>
      <diagonal/>
    </border>
    <border>
      <left style="hair">
        <color theme="0"/>
      </left>
      <right style="hair">
        <color theme="0"/>
      </right>
      <top style="hair">
        <color theme="7" tint="-0.24994659260841701"/>
      </top>
      <bottom style="hair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/>
    <xf numFmtId="0" fontId="15" fillId="0" borderId="0" applyNumberFormat="0" applyFill="0" applyBorder="0" applyAlignment="0" applyProtection="0">
      <alignment vertical="top"/>
      <protection locked="0"/>
    </xf>
  </cellStyleXfs>
  <cellXfs count="336">
    <xf numFmtId="0" fontId="0" fillId="0" borderId="0" xfId="0"/>
    <xf numFmtId="0" fontId="1" fillId="0" borderId="4" xfId="0" applyFont="1" applyBorder="1"/>
    <xf numFmtId="0" fontId="1" fillId="0" borderId="1" xfId="0" applyFont="1" applyBorder="1"/>
    <xf numFmtId="0" fontId="1" fillId="2" borderId="0" xfId="0" applyFont="1" applyFill="1"/>
    <xf numFmtId="0" fontId="2" fillId="2" borderId="0" xfId="0" applyFont="1" applyFill="1" applyAlignment="1">
      <alignment vertical="center"/>
    </xf>
    <xf numFmtId="0" fontId="1" fillId="0" borderId="5" xfId="0" applyFont="1" applyBorder="1"/>
    <xf numFmtId="0" fontId="2" fillId="10" borderId="10" xfId="0" applyFont="1" applyFill="1" applyBorder="1" applyAlignment="1">
      <alignment horizontal="center" vertical="center"/>
    </xf>
    <xf numFmtId="0" fontId="1" fillId="6" borderId="3" xfId="0" applyFont="1" applyFill="1" applyBorder="1"/>
    <xf numFmtId="0" fontId="2" fillId="2" borderId="10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 wrapText="1"/>
    </xf>
    <xf numFmtId="0" fontId="2" fillId="8" borderId="10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1" fillId="6" borderId="0" xfId="0" applyFont="1" applyFill="1"/>
    <xf numFmtId="0" fontId="2" fillId="2" borderId="0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2" fillId="5" borderId="0" xfId="0" applyFont="1" applyFill="1" applyBorder="1" applyAlignment="1">
      <alignment horizontal="center" vertical="center" wrapText="1"/>
    </xf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6" xfId="0" applyFont="1" applyFill="1" applyBorder="1"/>
    <xf numFmtId="0" fontId="1" fillId="0" borderId="6" xfId="0" applyFont="1" applyBorder="1"/>
    <xf numFmtId="0" fontId="1" fillId="6" borderId="8" xfId="0" applyFont="1" applyFill="1" applyBorder="1"/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0" fontId="2" fillId="10" borderId="16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8" borderId="10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1" fillId="8" borderId="10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1" fillId="0" borderId="18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vertical="center"/>
    </xf>
    <xf numFmtId="0" fontId="2" fillId="0" borderId="20" xfId="0" applyFont="1" applyFill="1" applyBorder="1" applyAlignment="1">
      <alignment vertical="center"/>
    </xf>
    <xf numFmtId="0" fontId="1" fillId="13" borderId="1" xfId="0" applyFont="1" applyFill="1" applyBorder="1"/>
    <xf numFmtId="0" fontId="5" fillId="0" borderId="1" xfId="0" applyFont="1" applyBorder="1"/>
    <xf numFmtId="0" fontId="1" fillId="14" borderId="1" xfId="0" applyFont="1" applyFill="1" applyBorder="1"/>
    <xf numFmtId="0" fontId="1" fillId="0" borderId="1" xfId="0" applyFont="1" applyFill="1" applyBorder="1"/>
    <xf numFmtId="0" fontId="1" fillId="15" borderId="1" xfId="0" applyFont="1" applyFill="1" applyBorder="1"/>
    <xf numFmtId="0" fontId="1" fillId="16" borderId="1" xfId="0" applyFont="1" applyFill="1" applyBorder="1"/>
    <xf numFmtId="0" fontId="1" fillId="17" borderId="1" xfId="0" applyFont="1" applyFill="1" applyBorder="1"/>
    <xf numFmtId="0" fontId="2" fillId="13" borderId="10" xfId="0" applyFont="1" applyFill="1" applyBorder="1" applyAlignment="1">
      <alignment horizontal="center" vertical="center" wrapText="1"/>
    </xf>
    <xf numFmtId="0" fontId="2" fillId="18" borderId="10" xfId="0" applyFont="1" applyFill="1" applyBorder="1" applyAlignment="1">
      <alignment horizontal="center" vertical="center" wrapText="1"/>
    </xf>
    <xf numFmtId="0" fontId="2" fillId="19" borderId="10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/>
    </xf>
    <xf numFmtId="0" fontId="8" fillId="0" borderId="1" xfId="0" applyFont="1" applyFill="1" applyBorder="1"/>
    <xf numFmtId="0" fontId="1" fillId="0" borderId="21" xfId="0" applyFont="1" applyBorder="1"/>
    <xf numFmtId="0" fontId="1" fillId="20" borderId="22" xfId="0" applyFont="1" applyFill="1" applyBorder="1"/>
    <xf numFmtId="0" fontId="1" fillId="20" borderId="22" xfId="0" applyFont="1" applyFill="1" applyBorder="1" applyAlignment="1">
      <alignment horizontal="center"/>
    </xf>
    <xf numFmtId="0" fontId="5" fillId="0" borderId="4" xfId="0" applyFont="1" applyBorder="1"/>
    <xf numFmtId="0" fontId="1" fillId="0" borderId="22" xfId="0" applyFont="1" applyBorder="1" applyAlignment="1">
      <alignment horizontal="center"/>
    </xf>
    <xf numFmtId="0" fontId="1" fillId="7" borderId="0" xfId="0" applyFont="1" applyFill="1" applyBorder="1"/>
    <xf numFmtId="0" fontId="1" fillId="7" borderId="0" xfId="0" applyFont="1" applyFill="1" applyBorder="1" applyAlignment="1">
      <alignment horizontal="center"/>
    </xf>
    <xf numFmtId="0" fontId="1" fillId="0" borderId="22" xfId="0" applyFont="1" applyBorder="1"/>
    <xf numFmtId="0" fontId="9" fillId="0" borderId="0" xfId="0" applyFont="1"/>
    <xf numFmtId="0" fontId="10" fillId="0" borderId="0" xfId="0" applyFont="1"/>
    <xf numFmtId="15" fontId="9" fillId="0" borderId="25" xfId="0" applyNumberFormat="1" applyFont="1" applyBorder="1"/>
    <xf numFmtId="0" fontId="9" fillId="0" borderId="26" xfId="0" applyFont="1" applyBorder="1"/>
    <xf numFmtId="0" fontId="9" fillId="0" borderId="27" xfId="0" applyFont="1" applyBorder="1"/>
    <xf numFmtId="43" fontId="9" fillId="0" borderId="0" xfId="1" applyFont="1"/>
    <xf numFmtId="0" fontId="9" fillId="0" borderId="0" xfId="0" applyFont="1" applyAlignment="1">
      <alignment horizontal="left"/>
    </xf>
    <xf numFmtId="15" fontId="9" fillId="0" borderId="0" xfId="0" applyNumberFormat="1" applyFont="1" applyAlignment="1">
      <alignment horizontal="left"/>
    </xf>
    <xf numFmtId="0" fontId="10" fillId="22" borderId="28" xfId="0" applyFont="1" applyFill="1" applyBorder="1"/>
    <xf numFmtId="0" fontId="10" fillId="22" borderId="29" xfId="0" applyFont="1" applyFill="1" applyBorder="1" applyAlignment="1">
      <alignment horizontal="center"/>
    </xf>
    <xf numFmtId="0" fontId="10" fillId="22" borderId="30" xfId="0" applyFont="1" applyFill="1" applyBorder="1" applyAlignment="1">
      <alignment horizontal="center"/>
    </xf>
    <xf numFmtId="0" fontId="10" fillId="22" borderId="31" xfId="0" applyFont="1" applyFill="1" applyBorder="1"/>
    <xf numFmtId="0" fontId="10" fillId="22" borderId="32" xfId="0" applyFont="1" applyFill="1" applyBorder="1" applyAlignment="1">
      <alignment horizontal="center"/>
    </xf>
    <xf numFmtId="0" fontId="10" fillId="22" borderId="33" xfId="0" applyFont="1" applyFill="1" applyBorder="1" applyAlignment="1">
      <alignment horizontal="center"/>
    </xf>
    <xf numFmtId="0" fontId="9" fillId="0" borderId="22" xfId="0" applyFont="1" applyBorder="1"/>
    <xf numFmtId="43" fontId="9" fillId="7" borderId="22" xfId="1" applyFont="1" applyFill="1" applyBorder="1" applyAlignment="1">
      <alignment horizontal="center" vertical="center"/>
    </xf>
    <xf numFmtId="0" fontId="9" fillId="0" borderId="22" xfId="0" applyFont="1" applyBorder="1" applyAlignment="1">
      <alignment horizontal="center"/>
    </xf>
    <xf numFmtId="0" fontId="9" fillId="0" borderId="22" xfId="0" applyFont="1" applyBorder="1" applyAlignment="1">
      <alignment horizontal="left"/>
    </xf>
    <xf numFmtId="43" fontId="9" fillId="0" borderId="22" xfId="1" applyFont="1" applyBorder="1" applyAlignment="1">
      <alignment horizontal="center"/>
    </xf>
    <xf numFmtId="0" fontId="9" fillId="0" borderId="23" xfId="0" applyFont="1" applyBorder="1"/>
    <xf numFmtId="0" fontId="9" fillId="0" borderId="24" xfId="0" applyFont="1" applyBorder="1"/>
    <xf numFmtId="43" fontId="9" fillId="0" borderId="24" xfId="0" applyNumberFormat="1" applyFont="1" applyBorder="1" applyAlignment="1">
      <alignment horizontal="right"/>
    </xf>
    <xf numFmtId="0" fontId="9" fillId="0" borderId="28" xfId="0" applyFont="1" applyBorder="1"/>
    <xf numFmtId="0" fontId="9" fillId="0" borderId="30" xfId="0" applyFont="1" applyBorder="1"/>
    <xf numFmtId="43" fontId="9" fillId="0" borderId="35" xfId="1" applyFont="1" applyBorder="1"/>
    <xf numFmtId="0" fontId="12" fillId="0" borderId="36" xfId="0" applyFont="1" applyBorder="1" applyAlignment="1">
      <alignment horizontal="center"/>
    </xf>
    <xf numFmtId="0" fontId="12" fillId="0" borderId="0" xfId="0" applyFont="1" applyBorder="1"/>
    <xf numFmtId="0" fontId="9" fillId="0" borderId="0" xfId="0" applyFont="1" applyBorder="1"/>
    <xf numFmtId="0" fontId="12" fillId="0" borderId="37" xfId="0" applyFont="1" applyBorder="1"/>
    <xf numFmtId="43" fontId="12" fillId="0" borderId="38" xfId="1" applyFont="1" applyBorder="1"/>
    <xf numFmtId="0" fontId="12" fillId="0" borderId="32" xfId="0" applyFont="1" applyBorder="1"/>
    <xf numFmtId="43" fontId="12" fillId="0" borderId="38" xfId="1" applyFont="1" applyBorder="1" applyAlignment="1">
      <alignment horizontal="center"/>
    </xf>
    <xf numFmtId="0" fontId="12" fillId="0" borderId="36" xfId="0" applyFont="1" applyBorder="1"/>
    <xf numFmtId="43" fontId="12" fillId="0" borderId="39" xfId="1" applyFont="1" applyBorder="1" applyAlignment="1"/>
    <xf numFmtId="0" fontId="12" fillId="0" borderId="40" xfId="0" applyFont="1" applyBorder="1"/>
    <xf numFmtId="0" fontId="12" fillId="0" borderId="41" xfId="0" applyFont="1" applyBorder="1"/>
    <xf numFmtId="0" fontId="9" fillId="0" borderId="41" xfId="0" applyFont="1" applyBorder="1"/>
    <xf numFmtId="0" fontId="12" fillId="0" borderId="34" xfId="0" applyFont="1" applyBorder="1"/>
    <xf numFmtId="43" fontId="12" fillId="0" borderId="42" xfId="1" applyFont="1" applyBorder="1" applyAlignment="1">
      <alignment horizontal="center"/>
    </xf>
    <xf numFmtId="0" fontId="11" fillId="0" borderId="31" xfId="0" applyFont="1" applyBorder="1"/>
    <xf numFmtId="0" fontId="12" fillId="0" borderId="33" xfId="0" applyFont="1" applyBorder="1"/>
    <xf numFmtId="43" fontId="12" fillId="0" borderId="0" xfId="1" applyFont="1" applyBorder="1"/>
    <xf numFmtId="43" fontId="9" fillId="0" borderId="44" xfId="1" applyFont="1" applyBorder="1"/>
    <xf numFmtId="0" fontId="12" fillId="0" borderId="29" xfId="0" applyFont="1" applyBorder="1" applyAlignment="1">
      <alignment horizontal="center"/>
    </xf>
    <xf numFmtId="0" fontId="12" fillId="0" borderId="37" xfId="0" applyFont="1" applyBorder="1" applyAlignment="1">
      <alignment horizontal="center"/>
    </xf>
    <xf numFmtId="0" fontId="12" fillId="0" borderId="22" xfId="0" applyFont="1" applyBorder="1"/>
    <xf numFmtId="0" fontId="12" fillId="0" borderId="45" xfId="0" applyFont="1" applyBorder="1"/>
    <xf numFmtId="0" fontId="12" fillId="0" borderId="24" xfId="0" applyFont="1" applyBorder="1"/>
    <xf numFmtId="0" fontId="9" fillId="0" borderId="31" xfId="0" applyFont="1" applyBorder="1"/>
    <xf numFmtId="0" fontId="9" fillId="0" borderId="33" xfId="0" applyFont="1" applyBorder="1"/>
    <xf numFmtId="43" fontId="9" fillId="0" borderId="43" xfId="1" applyFont="1" applyBorder="1"/>
    <xf numFmtId="0" fontId="10" fillId="15" borderId="22" xfId="0" applyFont="1" applyFill="1" applyBorder="1" applyAlignment="1">
      <alignment horizontal="center"/>
    </xf>
    <xf numFmtId="43" fontId="0" fillId="0" borderId="0" xfId="0" applyNumberFormat="1"/>
    <xf numFmtId="0" fontId="9" fillId="0" borderId="0" xfId="0" applyFont="1" applyAlignment="1">
      <alignment horizontal="center"/>
    </xf>
    <xf numFmtId="0" fontId="9" fillId="0" borderId="30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41" xfId="0" applyFont="1" applyBorder="1" applyAlignment="1">
      <alignment horizontal="center"/>
    </xf>
    <xf numFmtId="0" fontId="12" fillId="0" borderId="43" xfId="0" applyFont="1" applyBorder="1" applyAlignment="1">
      <alignment horizontal="center"/>
    </xf>
    <xf numFmtId="37" fontId="12" fillId="0" borderId="37" xfId="1" applyNumberFormat="1" applyFont="1" applyBorder="1" applyAlignment="1">
      <alignment horizontal="center"/>
    </xf>
    <xf numFmtId="164" fontId="12" fillId="0" borderId="37" xfId="1" applyNumberFormat="1" applyFont="1" applyBorder="1" applyAlignment="1">
      <alignment horizontal="center"/>
    </xf>
    <xf numFmtId="37" fontId="12" fillId="0" borderId="46" xfId="1" applyNumberFormat="1" applyFont="1" applyBorder="1" applyAlignment="1">
      <alignment horizontal="center"/>
    </xf>
    <xf numFmtId="165" fontId="12" fillId="0" borderId="32" xfId="1" applyNumberFormat="1" applyFont="1" applyBorder="1" applyAlignment="1">
      <alignment horizontal="center"/>
    </xf>
    <xf numFmtId="0" fontId="9" fillId="0" borderId="33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23" borderId="10" xfId="0" applyFont="1" applyFill="1" applyBorder="1" applyAlignment="1">
      <alignment horizontal="center" vertical="center" wrapText="1"/>
    </xf>
    <xf numFmtId="0" fontId="8" fillId="0" borderId="1" xfId="0" applyFont="1" applyBorder="1"/>
    <xf numFmtId="0" fontId="1" fillId="0" borderId="1" xfId="0" applyFont="1" applyFill="1" applyBorder="1" applyAlignment="1"/>
    <xf numFmtId="14" fontId="13" fillId="0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6" fillId="7" borderId="0" xfId="0" applyFont="1" applyFill="1" applyBorder="1" applyAlignment="1">
      <alignment horizontal="center"/>
    </xf>
    <xf numFmtId="14" fontId="1" fillId="0" borderId="1" xfId="0" applyNumberFormat="1" applyFont="1" applyBorder="1"/>
    <xf numFmtId="14" fontId="1" fillId="0" borderId="21" xfId="0" applyNumberFormat="1" applyFont="1" applyBorder="1"/>
    <xf numFmtId="0" fontId="14" fillId="7" borderId="0" xfId="0" applyFont="1" applyFill="1" applyBorder="1" applyAlignment="1">
      <alignment horizontal="left" vertical="center"/>
    </xf>
    <xf numFmtId="0" fontId="2" fillId="8" borderId="10" xfId="0" applyFont="1" applyFill="1" applyBorder="1" applyAlignment="1">
      <alignment horizontal="center" vertical="center" wrapText="1"/>
    </xf>
    <xf numFmtId="0" fontId="16" fillId="0" borderId="1" xfId="2" applyFont="1" applyBorder="1" applyAlignment="1" applyProtection="1"/>
    <xf numFmtId="0" fontId="13" fillId="0" borderId="1" xfId="0" applyFont="1" applyBorder="1"/>
    <xf numFmtId="0" fontId="2" fillId="20" borderId="10" xfId="0" applyFont="1" applyFill="1" applyBorder="1" applyAlignment="1">
      <alignment horizontal="center" vertical="center" wrapText="1"/>
    </xf>
    <xf numFmtId="0" fontId="1" fillId="24" borderId="21" xfId="0" applyFont="1" applyFill="1" applyBorder="1" applyAlignment="1"/>
    <xf numFmtId="14" fontId="1" fillId="7" borderId="26" xfId="0" applyNumberFormat="1" applyFont="1" applyFill="1" applyBorder="1" applyAlignment="1">
      <alignment horizontal="center" vertical="center"/>
    </xf>
    <xf numFmtId="1" fontId="17" fillId="0" borderId="27" xfId="0" applyNumberFormat="1" applyFont="1" applyBorder="1" applyAlignment="1">
      <alignment horizontal="center" vertical="center"/>
    </xf>
    <xf numFmtId="0" fontId="17" fillId="7" borderId="50" xfId="0" applyFont="1" applyFill="1" applyBorder="1" applyAlignment="1">
      <alignment horizontal="right" vertical="center"/>
    </xf>
    <xf numFmtId="0" fontId="17" fillId="7" borderId="27" xfId="0" applyFont="1" applyFill="1" applyBorder="1" applyAlignment="1">
      <alignment horizontal="left" vertical="center"/>
    </xf>
    <xf numFmtId="2" fontId="17" fillId="7" borderId="25" xfId="0" applyNumberFormat="1" applyFont="1" applyFill="1" applyBorder="1" applyAlignment="1">
      <alignment horizontal="right" vertical="center"/>
    </xf>
    <xf numFmtId="0" fontId="17" fillId="0" borderId="21" xfId="0" applyFont="1" applyBorder="1" applyAlignment="1">
      <alignment vertical="center"/>
    </xf>
    <xf numFmtId="0" fontId="1" fillId="0" borderId="48" xfId="0" applyFont="1" applyBorder="1"/>
    <xf numFmtId="0" fontId="17" fillId="7" borderId="51" xfId="0" applyFont="1" applyFill="1" applyBorder="1" applyAlignment="1">
      <alignment horizontal="right" vertical="center"/>
    </xf>
    <xf numFmtId="0" fontId="17" fillId="7" borderId="52" xfId="0" applyFont="1" applyFill="1" applyBorder="1" applyAlignment="1">
      <alignment horizontal="left" vertical="center"/>
    </xf>
    <xf numFmtId="0" fontId="1" fillId="7" borderId="53" xfId="0" applyFont="1" applyFill="1" applyBorder="1" applyAlignment="1">
      <alignment vertical="center"/>
    </xf>
    <xf numFmtId="0" fontId="1" fillId="7" borderId="0" xfId="0" applyFont="1" applyFill="1" applyBorder="1" applyAlignment="1">
      <alignment vertical="center"/>
    </xf>
    <xf numFmtId="0" fontId="18" fillId="0" borderId="0" xfId="0" applyFont="1"/>
    <xf numFmtId="0" fontId="17" fillId="7" borderId="25" xfId="0" applyFont="1" applyFill="1" applyBorder="1" applyAlignment="1">
      <alignment vertical="center"/>
    </xf>
    <xf numFmtId="166" fontId="17" fillId="7" borderId="25" xfId="0" applyNumberFormat="1" applyFont="1" applyFill="1" applyBorder="1" applyAlignment="1">
      <alignment vertical="center"/>
    </xf>
    <xf numFmtId="14" fontId="17" fillId="7" borderId="26" xfId="0" applyNumberFormat="1" applyFont="1" applyFill="1" applyBorder="1" applyAlignment="1">
      <alignment vertical="center"/>
    </xf>
    <xf numFmtId="14" fontId="13" fillId="7" borderId="54" xfId="0" applyNumberFormat="1" applyFont="1" applyFill="1" applyBorder="1" applyAlignment="1">
      <alignment horizontal="center" vertical="center"/>
    </xf>
    <xf numFmtId="0" fontId="1" fillId="15" borderId="27" xfId="0" applyFont="1" applyFill="1" applyBorder="1" applyAlignment="1">
      <alignment vertical="center"/>
    </xf>
    <xf numFmtId="0" fontId="1" fillId="0" borderId="54" xfId="0" applyFont="1" applyBorder="1" applyAlignment="1">
      <alignment vertical="center"/>
    </xf>
    <xf numFmtId="0" fontId="1" fillId="0" borderId="55" xfId="0" applyFont="1" applyBorder="1" applyAlignment="1">
      <alignment vertical="center"/>
    </xf>
    <xf numFmtId="2" fontId="17" fillId="7" borderId="56" xfId="0" applyNumberFormat="1" applyFont="1" applyFill="1" applyBorder="1" applyAlignment="1">
      <alignment horizontal="right" vertical="center"/>
    </xf>
    <xf numFmtId="0" fontId="17" fillId="7" borderId="27" xfId="0" applyFont="1" applyFill="1" applyBorder="1" applyAlignment="1">
      <alignment vertical="center"/>
    </xf>
    <xf numFmtId="0" fontId="19" fillId="7" borderId="1" xfId="0" applyFont="1" applyFill="1" applyBorder="1" applyAlignment="1"/>
    <xf numFmtId="0" fontId="1" fillId="0" borderId="1" xfId="0" applyFont="1" applyBorder="1" applyAlignment="1"/>
    <xf numFmtId="0" fontId="19" fillId="7" borderId="0" xfId="0" applyFont="1" applyFill="1" applyAlignment="1"/>
    <xf numFmtId="14" fontId="1" fillId="0" borderId="1" xfId="0" applyNumberFormat="1" applyFont="1" applyFill="1" applyBorder="1"/>
    <xf numFmtId="0" fontId="1" fillId="0" borderId="22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43" fontId="9" fillId="0" borderId="24" xfId="1" applyFont="1" applyBorder="1" applyAlignment="1">
      <alignment horizontal="center"/>
    </xf>
    <xf numFmtId="0" fontId="2" fillId="14" borderId="10" xfId="0" applyFont="1" applyFill="1" applyBorder="1" applyAlignment="1">
      <alignment horizontal="center" vertical="center" wrapText="1"/>
    </xf>
    <xf numFmtId="0" fontId="9" fillId="0" borderId="29" xfId="0" applyFont="1" applyBorder="1" applyAlignment="1">
      <alignment horizontal="left"/>
    </xf>
    <xf numFmtId="0" fontId="9" fillId="0" borderId="43" xfId="0" applyFont="1" applyBorder="1" applyAlignment="1">
      <alignment horizontal="left"/>
    </xf>
    <xf numFmtId="0" fontId="9" fillId="15" borderId="56" xfId="0" applyFont="1" applyFill="1" applyBorder="1" applyAlignment="1">
      <alignment horizontal="center"/>
    </xf>
    <xf numFmtId="0" fontId="10" fillId="15" borderId="56" xfId="0" applyFont="1" applyFill="1" applyBorder="1" applyAlignment="1">
      <alignment horizontal="center"/>
    </xf>
    <xf numFmtId="0" fontId="1" fillId="0" borderId="22" xfId="0" applyFont="1" applyBorder="1" applyAlignment="1">
      <alignment horizontal="center" vertical="center"/>
    </xf>
    <xf numFmtId="0" fontId="1" fillId="0" borderId="49" xfId="0" applyFont="1" applyBorder="1"/>
    <xf numFmtId="2" fontId="1" fillId="0" borderId="22" xfId="0" applyNumberFormat="1" applyFont="1" applyBorder="1" applyAlignment="1">
      <alignment horizontal="center" vertical="center"/>
    </xf>
    <xf numFmtId="0" fontId="1" fillId="0" borderId="22" xfId="0" applyFont="1" applyBorder="1" applyAlignment="1">
      <alignment vertical="center"/>
    </xf>
    <xf numFmtId="43" fontId="9" fillId="7" borderId="32" xfId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/>
    </xf>
    <xf numFmtId="1" fontId="22" fillId="25" borderId="57" xfId="0" applyNumberFormat="1" applyFont="1" applyFill="1" applyBorder="1" applyAlignment="1" applyProtection="1">
      <alignment horizontal="right" vertical="center" wrapText="1"/>
    </xf>
    <xf numFmtId="1" fontId="23" fillId="7" borderId="56" xfId="0" applyNumberFormat="1" applyFont="1" applyFill="1" applyBorder="1" applyAlignment="1" applyProtection="1">
      <alignment horizontal="center" vertical="center"/>
    </xf>
    <xf numFmtId="1" fontId="23" fillId="7" borderId="26" xfId="0" applyNumberFormat="1" applyFont="1" applyFill="1" applyBorder="1" applyAlignment="1" applyProtection="1">
      <alignment horizontal="center" vertical="center"/>
    </xf>
    <xf numFmtId="1" fontId="23" fillId="21" borderId="27" xfId="0" applyNumberFormat="1" applyFont="1" applyFill="1" applyBorder="1" applyAlignment="1" applyProtection="1">
      <alignment horizontal="center" vertical="center"/>
    </xf>
    <xf numFmtId="1" fontId="24" fillId="0" borderId="58" xfId="0" applyNumberFormat="1" applyFont="1" applyFill="1" applyBorder="1" applyAlignment="1" applyProtection="1">
      <alignment wrapText="1"/>
    </xf>
    <xf numFmtId="1" fontId="23" fillId="0" borderId="51" xfId="0" applyNumberFormat="1" applyFont="1" applyFill="1" applyBorder="1" applyAlignment="1" applyProtection="1">
      <alignment horizontal="center" vertical="center"/>
    </xf>
    <xf numFmtId="1" fontId="23" fillId="0" borderId="0" xfId="0" applyNumberFormat="1" applyFont="1" applyFill="1" applyBorder="1" applyAlignment="1" applyProtection="1">
      <alignment horizontal="center" vertical="center"/>
    </xf>
    <xf numFmtId="1" fontId="23" fillId="26" borderId="0" xfId="0" applyNumberFormat="1" applyFont="1" applyFill="1" applyBorder="1" applyAlignment="1" applyProtection="1">
      <alignment horizontal="center" vertical="center"/>
    </xf>
    <xf numFmtId="1" fontId="23" fillId="27" borderId="0" xfId="0" applyNumberFormat="1" applyFont="1" applyFill="1" applyBorder="1" applyAlignment="1" applyProtection="1">
      <alignment horizontal="center" vertical="center"/>
    </xf>
    <xf numFmtId="1" fontId="23" fillId="0" borderId="52" xfId="0" applyNumberFormat="1" applyFont="1" applyFill="1" applyBorder="1" applyAlignment="1" applyProtection="1">
      <alignment horizontal="center" vertical="center"/>
    </xf>
    <xf numFmtId="1" fontId="24" fillId="0" borderId="59" xfId="0" applyNumberFormat="1" applyFont="1" applyFill="1" applyBorder="1" applyAlignment="1" applyProtection="1">
      <alignment wrapText="1"/>
    </xf>
    <xf numFmtId="1" fontId="23" fillId="17" borderId="60" xfId="0" applyNumberFormat="1" applyFont="1" applyFill="1" applyBorder="1" applyAlignment="1" applyProtection="1">
      <alignment horizontal="center" vertical="center"/>
    </xf>
    <xf numFmtId="1" fontId="23" fillId="17" borderId="41" xfId="0" applyNumberFormat="1" applyFont="1" applyFill="1" applyBorder="1" applyAlignment="1" applyProtection="1">
      <alignment horizontal="center" vertical="center"/>
    </xf>
    <xf numFmtId="1" fontId="23" fillId="17" borderId="61" xfId="0" applyNumberFormat="1" applyFont="1" applyFill="1" applyBorder="1" applyAlignment="1" applyProtection="1">
      <alignment horizontal="center" vertical="center"/>
    </xf>
    <xf numFmtId="1" fontId="14" fillId="0" borderId="32" xfId="0" applyNumberFormat="1" applyFont="1" applyFill="1" applyBorder="1" applyAlignment="1" applyProtection="1">
      <alignment horizontal="right" wrapText="1"/>
    </xf>
    <xf numFmtId="1" fontId="23" fillId="0" borderId="62" xfId="0" applyNumberFormat="1" applyFont="1" applyFill="1" applyBorder="1" applyAlignment="1" applyProtection="1">
      <alignment horizontal="center" vertical="center"/>
    </xf>
    <xf numFmtId="1" fontId="23" fillId="0" borderId="0" xfId="0" applyNumberFormat="1" applyFont="1" applyFill="1" applyAlignment="1" applyProtection="1">
      <alignment horizontal="center" vertical="center"/>
    </xf>
    <xf numFmtId="0" fontId="25" fillId="13" borderId="1" xfId="2" applyFont="1" applyFill="1" applyBorder="1" applyAlignment="1" applyProtection="1">
      <alignment horizontal="center" vertical="center"/>
    </xf>
    <xf numFmtId="0" fontId="25" fillId="14" borderId="1" xfId="2" applyFont="1" applyFill="1" applyBorder="1" applyAlignment="1" applyProtection="1">
      <alignment horizontal="center" vertical="center"/>
    </xf>
    <xf numFmtId="0" fontId="26" fillId="17" borderId="1" xfId="0" applyFont="1" applyFill="1" applyBorder="1" applyAlignment="1">
      <alignment horizontal="center" vertical="center"/>
    </xf>
    <xf numFmtId="0" fontId="25" fillId="28" borderId="10" xfId="2" applyFont="1" applyFill="1" applyBorder="1" applyAlignment="1" applyProtection="1">
      <alignment horizontal="center" vertical="center" wrapText="1"/>
    </xf>
    <xf numFmtId="0" fontId="5" fillId="0" borderId="1" xfId="0" applyFont="1" applyBorder="1" applyProtection="1"/>
    <xf numFmtId="0" fontId="5" fillId="0" borderId="4" xfId="0" applyFont="1" applyBorder="1" applyProtection="1"/>
    <xf numFmtId="0" fontId="1" fillId="0" borderId="4" xfId="0" applyFont="1" applyBorder="1" applyProtection="1"/>
    <xf numFmtId="0" fontId="1" fillId="7" borderId="22" xfId="0" applyFont="1" applyFill="1" applyBorder="1" applyAlignment="1" applyProtection="1">
      <alignment horizontal="center"/>
    </xf>
    <xf numFmtId="0" fontId="25" fillId="0" borderId="1" xfId="2" applyFont="1" applyBorder="1" applyAlignment="1" applyProtection="1">
      <alignment horizontal="center" vertical="center"/>
    </xf>
    <xf numFmtId="0" fontId="8" fillId="0" borderId="21" xfId="0" applyFont="1" applyBorder="1"/>
    <xf numFmtId="0" fontId="1" fillId="0" borderId="63" xfId="0" applyFont="1" applyBorder="1" applyAlignment="1">
      <alignment horizontal="center" vertical="center" wrapText="1"/>
    </xf>
    <xf numFmtId="0" fontId="1" fillId="0" borderId="64" xfId="0" applyFont="1" applyBorder="1" applyAlignment="1">
      <alignment horizontal="center" vertical="center" wrapText="1"/>
    </xf>
    <xf numFmtId="0" fontId="1" fillId="0" borderId="65" xfId="0" applyFont="1" applyBorder="1" applyAlignment="1">
      <alignment horizontal="center" vertical="center" wrapText="1"/>
    </xf>
    <xf numFmtId="0" fontId="1" fillId="0" borderId="66" xfId="0" applyFont="1" applyBorder="1" applyAlignment="1">
      <alignment horizontal="center" vertical="center" wrapText="1"/>
    </xf>
    <xf numFmtId="0" fontId="1" fillId="0" borderId="67" xfId="0" applyFont="1" applyBorder="1" applyAlignment="1">
      <alignment horizontal="center" vertical="center" wrapText="1"/>
    </xf>
    <xf numFmtId="0" fontId="1" fillId="0" borderId="53" xfId="0" applyFont="1" applyBorder="1" applyAlignment="1">
      <alignment horizontal="center" vertical="center" wrapText="1"/>
    </xf>
    <xf numFmtId="2" fontId="1" fillId="0" borderId="68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1" fillId="7" borderId="22" xfId="0" applyFont="1" applyFill="1" applyBorder="1" applyAlignment="1">
      <alignment horizontal="center"/>
    </xf>
    <xf numFmtId="0" fontId="1" fillId="7" borderId="22" xfId="0" applyFont="1" applyFill="1" applyBorder="1" applyAlignment="1">
      <alignment horizontal="center" vertical="center"/>
    </xf>
    <xf numFmtId="0" fontId="1" fillId="7" borderId="22" xfId="0" applyFont="1" applyFill="1" applyBorder="1" applyAlignment="1">
      <alignment horizontal="center" vertical="center" wrapText="1"/>
    </xf>
    <xf numFmtId="0" fontId="1" fillId="7" borderId="22" xfId="0" applyFont="1" applyFill="1" applyBorder="1"/>
    <xf numFmtId="0" fontId="1" fillId="7" borderId="1" xfId="0" applyFont="1" applyFill="1" applyBorder="1"/>
    <xf numFmtId="0" fontId="1" fillId="7" borderId="21" xfId="0" applyFont="1" applyFill="1" applyBorder="1"/>
    <xf numFmtId="0" fontId="1" fillId="7" borderId="4" xfId="0" applyFont="1" applyFill="1" applyBorder="1"/>
    <xf numFmtId="0" fontId="2" fillId="13" borderId="10" xfId="0" applyFont="1" applyFill="1" applyBorder="1" applyAlignment="1">
      <alignment horizontal="center" vertical="center"/>
    </xf>
    <xf numFmtId="0" fontId="29" fillId="0" borderId="1" xfId="0" applyFont="1" applyBorder="1"/>
    <xf numFmtId="0" fontId="30" fillId="0" borderId="0" xfId="0" applyFont="1"/>
    <xf numFmtId="0" fontId="0" fillId="7" borderId="0" xfId="0" applyFill="1"/>
    <xf numFmtId="0" fontId="9" fillId="7" borderId="0" xfId="0" applyFont="1" applyFill="1"/>
    <xf numFmtId="0" fontId="10" fillId="7" borderId="0" xfId="0" applyFont="1" applyFill="1"/>
    <xf numFmtId="0" fontId="9" fillId="7" borderId="0" xfId="0" applyFont="1" applyFill="1" applyAlignment="1">
      <alignment horizontal="center"/>
    </xf>
    <xf numFmtId="15" fontId="9" fillId="7" borderId="25" xfId="0" applyNumberFormat="1" applyFont="1" applyFill="1" applyBorder="1"/>
    <xf numFmtId="0" fontId="9" fillId="7" borderId="26" xfId="0" applyFont="1" applyFill="1" applyBorder="1"/>
    <xf numFmtId="0" fontId="9" fillId="7" borderId="27" xfId="0" applyFont="1" applyFill="1" applyBorder="1"/>
    <xf numFmtId="43" fontId="9" fillId="7" borderId="0" xfId="1" applyFont="1" applyFill="1"/>
    <xf numFmtId="0" fontId="9" fillId="7" borderId="0" xfId="0" applyFont="1" applyFill="1" applyAlignment="1">
      <alignment horizontal="left"/>
    </xf>
    <xf numFmtId="15" fontId="9" fillId="7" borderId="0" xfId="0" applyNumberFormat="1" applyFont="1" applyFill="1" applyAlignment="1">
      <alignment horizontal="left"/>
    </xf>
    <xf numFmtId="0" fontId="10" fillId="7" borderId="28" xfId="0" applyFont="1" applyFill="1" applyBorder="1"/>
    <xf numFmtId="0" fontId="10" fillId="7" borderId="29" xfId="0" applyFont="1" applyFill="1" applyBorder="1" applyAlignment="1">
      <alignment horizontal="center"/>
    </xf>
    <xf numFmtId="0" fontId="10" fillId="7" borderId="30" xfId="0" applyFont="1" applyFill="1" applyBorder="1" applyAlignment="1">
      <alignment horizontal="center"/>
    </xf>
    <xf numFmtId="0" fontId="10" fillId="7" borderId="31" xfId="0" applyFont="1" applyFill="1" applyBorder="1"/>
    <xf numFmtId="0" fontId="10" fillId="7" borderId="32" xfId="0" applyFont="1" applyFill="1" applyBorder="1" applyAlignment="1">
      <alignment horizontal="center"/>
    </xf>
    <xf numFmtId="0" fontId="10" fillId="7" borderId="33" xfId="0" applyFont="1" applyFill="1" applyBorder="1" applyAlignment="1">
      <alignment horizontal="center"/>
    </xf>
    <xf numFmtId="0" fontId="9" fillId="7" borderId="22" xfId="0" applyFont="1" applyFill="1" applyBorder="1" applyAlignment="1">
      <alignment horizontal="center"/>
    </xf>
    <xf numFmtId="0" fontId="9" fillId="7" borderId="22" xfId="0" applyFont="1" applyFill="1" applyBorder="1"/>
    <xf numFmtId="0" fontId="10" fillId="7" borderId="22" xfId="0" applyFont="1" applyFill="1" applyBorder="1" applyAlignment="1">
      <alignment horizontal="center"/>
    </xf>
    <xf numFmtId="43" fontId="9" fillId="7" borderId="22" xfId="1" applyFont="1" applyFill="1" applyBorder="1"/>
    <xf numFmtId="0" fontId="9" fillId="7" borderId="22" xfId="0" applyFont="1" applyFill="1" applyBorder="1" applyAlignment="1">
      <alignment horizontal="left"/>
    </xf>
    <xf numFmtId="43" fontId="9" fillId="7" borderId="22" xfId="1" applyFont="1" applyFill="1" applyBorder="1" applyAlignment="1">
      <alignment horizontal="center"/>
    </xf>
    <xf numFmtId="0" fontId="9" fillId="7" borderId="29" xfId="0" applyFont="1" applyFill="1" applyBorder="1" applyAlignment="1">
      <alignment horizontal="left"/>
    </xf>
    <xf numFmtId="0" fontId="9" fillId="7" borderId="23" xfId="0" applyFont="1" applyFill="1" applyBorder="1" applyAlignment="1">
      <alignment horizontal="center"/>
    </xf>
    <xf numFmtId="0" fontId="10" fillId="7" borderId="56" xfId="0" applyFont="1" applyFill="1" applyBorder="1" applyAlignment="1">
      <alignment horizontal="center"/>
    </xf>
    <xf numFmtId="0" fontId="9" fillId="7" borderId="24" xfId="0" applyFont="1" applyFill="1" applyBorder="1" applyAlignment="1">
      <alignment horizontal="center"/>
    </xf>
    <xf numFmtId="0" fontId="9" fillId="7" borderId="32" xfId="0" applyFont="1" applyFill="1" applyBorder="1" applyAlignment="1">
      <alignment horizontal="left"/>
    </xf>
    <xf numFmtId="43" fontId="0" fillId="7" borderId="0" xfId="0" applyNumberFormat="1" applyFill="1"/>
    <xf numFmtId="43" fontId="9" fillId="7" borderId="24" xfId="1" applyFont="1" applyFill="1" applyBorder="1" applyAlignment="1">
      <alignment horizontal="center"/>
    </xf>
    <xf numFmtId="0" fontId="9" fillId="7" borderId="56" xfId="0" applyFont="1" applyFill="1" applyBorder="1" applyAlignment="1">
      <alignment horizontal="center"/>
    </xf>
    <xf numFmtId="0" fontId="9" fillId="7" borderId="43" xfId="0" applyFont="1" applyFill="1" applyBorder="1" applyAlignment="1">
      <alignment horizontal="left"/>
    </xf>
    <xf numFmtId="0" fontId="9" fillId="7" borderId="23" xfId="0" applyFont="1" applyFill="1" applyBorder="1"/>
    <xf numFmtId="0" fontId="9" fillId="7" borderId="24" xfId="0" applyFont="1" applyFill="1" applyBorder="1"/>
    <xf numFmtId="43" fontId="9" fillId="7" borderId="24" xfId="0" applyNumberFormat="1" applyFont="1" applyFill="1" applyBorder="1" applyAlignment="1">
      <alignment horizontal="right"/>
    </xf>
    <xf numFmtId="0" fontId="9" fillId="7" borderId="28" xfId="0" applyFont="1" applyFill="1" applyBorder="1"/>
    <xf numFmtId="0" fontId="9" fillId="7" borderId="30" xfId="0" applyFont="1" applyFill="1" applyBorder="1"/>
    <xf numFmtId="0" fontId="9" fillId="7" borderId="30" xfId="0" applyFont="1" applyFill="1" applyBorder="1" applyAlignment="1">
      <alignment horizontal="center"/>
    </xf>
    <xf numFmtId="43" fontId="9" fillId="7" borderId="35" xfId="1" applyFont="1" applyFill="1" applyBorder="1"/>
    <xf numFmtId="0" fontId="12" fillId="7" borderId="36" xfId="0" applyFont="1" applyFill="1" applyBorder="1" applyAlignment="1">
      <alignment horizontal="center"/>
    </xf>
    <xf numFmtId="0" fontId="12" fillId="7" borderId="0" xfId="0" applyFont="1" applyFill="1" applyBorder="1"/>
    <xf numFmtId="0" fontId="12" fillId="7" borderId="0" xfId="0" applyFont="1" applyFill="1" applyBorder="1" applyAlignment="1">
      <alignment horizontal="center"/>
    </xf>
    <xf numFmtId="0" fontId="9" fillId="7" borderId="0" xfId="0" applyFont="1" applyFill="1" applyBorder="1"/>
    <xf numFmtId="0" fontId="12" fillId="7" borderId="37" xfId="0" applyFont="1" applyFill="1" applyBorder="1"/>
    <xf numFmtId="43" fontId="12" fillId="7" borderId="38" xfId="1" applyFont="1" applyFill="1" applyBorder="1"/>
    <xf numFmtId="0" fontId="12" fillId="7" borderId="32" xfId="0" applyFont="1" applyFill="1" applyBorder="1"/>
    <xf numFmtId="43" fontId="12" fillId="7" borderId="38" xfId="1" applyFont="1" applyFill="1" applyBorder="1" applyAlignment="1">
      <alignment horizontal="center"/>
    </xf>
    <xf numFmtId="0" fontId="12" fillId="7" borderId="36" xfId="0" applyFont="1" applyFill="1" applyBorder="1"/>
    <xf numFmtId="43" fontId="12" fillId="7" borderId="39" xfId="1" applyFont="1" applyFill="1" applyBorder="1" applyAlignment="1"/>
    <xf numFmtId="0" fontId="12" fillId="7" borderId="40" xfId="0" applyFont="1" applyFill="1" applyBorder="1"/>
    <xf numFmtId="0" fontId="12" fillId="7" borderId="41" xfId="0" applyFont="1" applyFill="1" applyBorder="1"/>
    <xf numFmtId="0" fontId="12" fillId="7" borderId="41" xfId="0" applyFont="1" applyFill="1" applyBorder="1" applyAlignment="1">
      <alignment horizontal="center"/>
    </xf>
    <xf numFmtId="0" fontId="9" fillId="7" borderId="41" xfId="0" applyFont="1" applyFill="1" applyBorder="1"/>
    <xf numFmtId="0" fontId="12" fillId="7" borderId="34" xfId="0" applyFont="1" applyFill="1" applyBorder="1"/>
    <xf numFmtId="43" fontId="12" fillId="7" borderId="42" xfId="1" applyFont="1" applyFill="1" applyBorder="1" applyAlignment="1">
      <alignment horizontal="center"/>
    </xf>
    <xf numFmtId="0" fontId="9" fillId="7" borderId="23" xfId="0" applyFont="1" applyFill="1" applyBorder="1" applyAlignment="1"/>
    <xf numFmtId="0" fontId="9" fillId="7" borderId="30" xfId="0" applyFont="1" applyFill="1" applyBorder="1" applyAlignment="1"/>
    <xf numFmtId="0" fontId="9" fillId="7" borderId="24" xfId="0" applyFont="1" applyFill="1" applyBorder="1" applyAlignment="1"/>
    <xf numFmtId="0" fontId="9" fillId="7" borderId="22" xfId="0" applyFont="1" applyFill="1" applyBorder="1" applyAlignment="1">
      <alignment horizontal="center" wrapText="1"/>
    </xf>
    <xf numFmtId="0" fontId="11" fillId="7" borderId="31" xfId="0" applyFont="1" applyFill="1" applyBorder="1"/>
    <xf numFmtId="0" fontId="12" fillId="7" borderId="33" xfId="0" applyFont="1" applyFill="1" applyBorder="1"/>
    <xf numFmtId="0" fontId="12" fillId="7" borderId="43" xfId="0" applyFont="1" applyFill="1" applyBorder="1" applyAlignment="1">
      <alignment horizontal="center"/>
    </xf>
    <xf numFmtId="43" fontId="12" fillId="7" borderId="0" xfId="1" applyFont="1" applyFill="1" applyBorder="1"/>
    <xf numFmtId="43" fontId="9" fillId="7" borderId="44" xfId="1" applyFont="1" applyFill="1" applyBorder="1"/>
    <xf numFmtId="0" fontId="12" fillId="7" borderId="29" xfId="0" applyFont="1" applyFill="1" applyBorder="1" applyAlignment="1">
      <alignment horizontal="center"/>
    </xf>
    <xf numFmtId="37" fontId="12" fillId="7" borderId="37" xfId="1" applyNumberFormat="1" applyFont="1" applyFill="1" applyBorder="1" applyAlignment="1">
      <alignment horizontal="center"/>
    </xf>
    <xf numFmtId="0" fontId="12" fillId="7" borderId="37" xfId="0" applyFont="1" applyFill="1" applyBorder="1" applyAlignment="1">
      <alignment horizontal="center"/>
    </xf>
    <xf numFmtId="164" fontId="12" fillId="7" borderId="37" xfId="1" applyNumberFormat="1" applyFont="1" applyFill="1" applyBorder="1" applyAlignment="1">
      <alignment horizontal="center"/>
    </xf>
    <xf numFmtId="0" fontId="10" fillId="15" borderId="22" xfId="0" applyFont="1" applyFill="1" applyBorder="1" applyAlignment="1">
      <alignment horizontal="center" wrapText="1"/>
    </xf>
    <xf numFmtId="0" fontId="4" fillId="9" borderId="10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 wrapText="1"/>
    </xf>
    <xf numFmtId="0" fontId="1" fillId="8" borderId="10" xfId="0" applyFont="1" applyFill="1" applyBorder="1" applyAlignment="1">
      <alignment horizontal="center" vertical="center" wrapText="1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4" fillId="9" borderId="7" xfId="0" applyFont="1" applyFill="1" applyBorder="1" applyAlignment="1">
      <alignment horizontal="center" vertical="center"/>
    </xf>
    <xf numFmtId="0" fontId="2" fillId="8" borderId="10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21" borderId="21" xfId="0" applyFont="1" applyFill="1" applyBorder="1" applyAlignment="1">
      <alignment horizontal="center"/>
    </xf>
    <xf numFmtId="0" fontId="1" fillId="21" borderId="2" xfId="0" applyFont="1" applyFill="1" applyBorder="1" applyAlignment="1">
      <alignment horizontal="center"/>
    </xf>
    <xf numFmtId="0" fontId="2" fillId="12" borderId="11" xfId="0" applyFont="1" applyFill="1" applyBorder="1" applyAlignment="1">
      <alignment horizontal="center" vertical="center" wrapText="1"/>
    </xf>
    <xf numFmtId="0" fontId="1" fillId="8" borderId="13" xfId="0" applyFont="1" applyFill="1" applyBorder="1" applyAlignment="1">
      <alignment horizontal="center" vertical="center" wrapText="1"/>
    </xf>
    <xf numFmtId="0" fontId="1" fillId="8" borderId="11" xfId="0" applyFont="1" applyFill="1" applyBorder="1" applyAlignment="1">
      <alignment horizontal="center" vertical="center" wrapText="1"/>
    </xf>
    <xf numFmtId="0" fontId="1" fillId="8" borderId="12" xfId="0" applyFont="1" applyFill="1" applyBorder="1" applyAlignment="1">
      <alignment horizontal="center" vertical="center" wrapText="1"/>
    </xf>
    <xf numFmtId="0" fontId="1" fillId="7" borderId="0" xfId="0" applyFont="1" applyFill="1" applyBorder="1" applyAlignment="1">
      <alignment horizontal="left" vertical="center"/>
    </xf>
    <xf numFmtId="14" fontId="17" fillId="7" borderId="25" xfId="0" applyNumberFormat="1" applyFont="1" applyFill="1" applyBorder="1" applyAlignment="1">
      <alignment horizontal="center" vertical="center"/>
    </xf>
    <xf numFmtId="14" fontId="17" fillId="7" borderId="27" xfId="0" applyNumberFormat="1" applyFont="1" applyFill="1" applyBorder="1" applyAlignment="1">
      <alignment horizontal="center" vertical="center"/>
    </xf>
    <xf numFmtId="0" fontId="1" fillId="21" borderId="47" xfId="0" applyFont="1" applyFill="1" applyBorder="1" applyAlignment="1">
      <alignment horizontal="center"/>
    </xf>
    <xf numFmtId="0" fontId="5" fillId="0" borderId="48" xfId="0" applyFont="1" applyBorder="1" applyAlignment="1">
      <alignment horizontal="left" vertical="center"/>
    </xf>
    <xf numFmtId="0" fontId="5" fillId="0" borderId="49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1" fillId="0" borderId="23" xfId="0" applyFont="1" applyBorder="1" applyAlignment="1" applyProtection="1">
      <alignment horizontal="center"/>
    </xf>
    <xf numFmtId="0" fontId="1" fillId="0" borderId="24" xfId="0" applyFont="1" applyBorder="1" applyAlignment="1" applyProtection="1">
      <alignment horizontal="center"/>
    </xf>
    <xf numFmtId="0" fontId="2" fillId="11" borderId="11" xfId="0" applyFont="1" applyFill="1" applyBorder="1" applyAlignment="1">
      <alignment horizontal="center" vertical="center" wrapText="1"/>
    </xf>
    <xf numFmtId="43" fontId="10" fillId="7" borderId="22" xfId="1" applyFont="1" applyFill="1" applyBorder="1" applyAlignment="1">
      <alignment horizontal="center" vertical="center" wrapText="1"/>
    </xf>
    <xf numFmtId="0" fontId="11" fillId="7" borderId="25" xfId="0" applyFont="1" applyFill="1" applyBorder="1" applyAlignment="1">
      <alignment horizontal="left"/>
    </xf>
    <xf numFmtId="0" fontId="11" fillId="7" borderId="26" xfId="0" applyFont="1" applyFill="1" applyBorder="1" applyAlignment="1">
      <alignment horizontal="left"/>
    </xf>
    <xf numFmtId="0" fontId="11" fillId="7" borderId="27" xfId="0" applyFont="1" applyFill="1" applyBorder="1" applyAlignment="1">
      <alignment horizontal="left"/>
    </xf>
    <xf numFmtId="43" fontId="10" fillId="7" borderId="29" xfId="1" applyFont="1" applyFill="1" applyBorder="1" applyAlignment="1">
      <alignment horizontal="center" vertical="center" wrapText="1"/>
    </xf>
    <xf numFmtId="43" fontId="10" fillId="7" borderId="34" xfId="1" applyFont="1" applyFill="1" applyBorder="1" applyAlignment="1">
      <alignment horizontal="center" vertical="center" wrapText="1"/>
    </xf>
    <xf numFmtId="0" fontId="9" fillId="7" borderId="23" xfId="0" applyFont="1" applyFill="1" applyBorder="1" applyAlignment="1">
      <alignment horizontal="center" wrapText="1"/>
    </xf>
    <xf numFmtId="0" fontId="9" fillId="7" borderId="45" xfId="0" applyFont="1" applyFill="1" applyBorder="1" applyAlignment="1">
      <alignment horizontal="center" wrapText="1"/>
    </xf>
    <xf numFmtId="0" fontId="9" fillId="7" borderId="24" xfId="0" applyFont="1" applyFill="1" applyBorder="1" applyAlignment="1">
      <alignment horizontal="center" wrapText="1"/>
    </xf>
    <xf numFmtId="43" fontId="10" fillId="22" borderId="22" xfId="1" applyFont="1" applyFill="1" applyBorder="1" applyAlignment="1">
      <alignment horizontal="center" vertical="center" wrapText="1"/>
    </xf>
    <xf numFmtId="0" fontId="9" fillId="0" borderId="23" xfId="0" applyFont="1" applyBorder="1" applyAlignment="1">
      <alignment horizontal="center" wrapText="1"/>
    </xf>
    <xf numFmtId="0" fontId="9" fillId="0" borderId="45" xfId="0" applyFont="1" applyBorder="1" applyAlignment="1">
      <alignment horizontal="center" wrapText="1"/>
    </xf>
    <xf numFmtId="0" fontId="9" fillId="0" borderId="24" xfId="0" applyFont="1" applyBorder="1" applyAlignment="1">
      <alignment horizontal="center" wrapText="1"/>
    </xf>
    <xf numFmtId="0" fontId="11" fillId="0" borderId="25" xfId="0" applyFont="1" applyBorder="1" applyAlignment="1">
      <alignment horizontal="left"/>
    </xf>
    <xf numFmtId="0" fontId="11" fillId="0" borderId="26" xfId="0" applyFont="1" applyBorder="1" applyAlignment="1">
      <alignment horizontal="left"/>
    </xf>
    <xf numFmtId="0" fontId="11" fillId="0" borderId="27" xfId="0" applyFont="1" applyBorder="1" applyAlignment="1">
      <alignment horizontal="left"/>
    </xf>
    <xf numFmtId="0" fontId="9" fillId="0" borderId="30" xfId="0" applyFont="1" applyBorder="1" applyAlignment="1">
      <alignment horizontal="center" wrapText="1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C9DAE9"/>
      <rgbColor rgb="00FFFFFF"/>
      <rgbColor rgb="00FF0000"/>
      <rgbColor rgb="0081FB98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EDF2F7"/>
      <rgbColor rgb="00894F1F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hyperlink" Target="../../../../Milcris%20CVs/Airport%20Site%20Staff%20CVs%20-%20Hill/Word%20Format/QS/QS-Sanjeewa.doc" TargetMode="External"/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Relavent%20Files/Personnel%20Folder/CV-Sanjeewa%20Prasanga_%20QS.pdf" TargetMode="External"/><Relationship Id="rId3" Type="http://schemas.openxmlformats.org/officeDocument/2006/relationships/hyperlink" Target="#'..'!A1"/><Relationship Id="rId7" Type="http://schemas.openxmlformats.org/officeDocument/2006/relationships/hyperlink" Target="../../Staff%20Personnel%20Folders/Sumithra%20Upeka%20De%20Silva/Contract%20Letter.pdf" TargetMode="External"/><Relationship Id="rId2" Type="http://schemas.openxmlformats.org/officeDocument/2006/relationships/hyperlink" Target="Relavent%20Files/Time%20Sheet-Sanjeewa%20Prasanga.xlsm" TargetMode="External"/><Relationship Id="rId1" Type="http://schemas.openxmlformats.org/officeDocument/2006/relationships/image" Target="../media/image3.jpeg"/><Relationship Id="rId6" Type="http://schemas.openxmlformats.org/officeDocument/2006/relationships/hyperlink" Target="Relavent%20Files/Personnel%20Folder/k.k.%20Sanjeewa.docx" TargetMode="External"/><Relationship Id="rId5" Type="http://schemas.openxmlformats.org/officeDocument/2006/relationships/hyperlink" Target="#'.'!A1"/><Relationship Id="rId4" Type="http://schemas.openxmlformats.org/officeDocument/2006/relationships/hyperlink" Target="Relavent%20Files/Personnel%20Folder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5" Type="http://schemas.openxmlformats.org/officeDocument/2006/relationships/hyperlink" Target="#Home!A1"/><Relationship Id="rId4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85724</xdr:colOff>
      <xdr:row>14</xdr:row>
      <xdr:rowOff>28574</xdr:rowOff>
    </xdr:from>
    <xdr:to>
      <xdr:col>18</xdr:col>
      <xdr:colOff>552449</xdr:colOff>
      <xdr:row>15</xdr:row>
      <xdr:rowOff>142874</xdr:rowOff>
    </xdr:to>
    <xdr:sp macro="" textlink="">
      <xdr:nvSpPr>
        <xdr:cNvPr id="3" name="Rectangular Callou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0800000" flipV="1">
          <a:off x="6048374" y="2543174"/>
          <a:ext cx="466725" cy="276225"/>
        </a:xfrm>
        <a:prstGeom prst="wedgeRectCallout">
          <a:avLst/>
        </a:prstGeom>
        <a:noFill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18</xdr:col>
      <xdr:colOff>161925</xdr:colOff>
      <xdr:row>8</xdr:row>
      <xdr:rowOff>9526</xdr:rowOff>
    </xdr:from>
    <xdr:to>
      <xdr:col>18</xdr:col>
      <xdr:colOff>400050</xdr:colOff>
      <xdr:row>9</xdr:row>
      <xdr:rowOff>38101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124575" y="1562101"/>
          <a:ext cx="238125" cy="20955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18</xdr:col>
      <xdr:colOff>76199</xdr:colOff>
      <xdr:row>14</xdr:row>
      <xdr:rowOff>38099</xdr:rowOff>
    </xdr:from>
    <xdr:to>
      <xdr:col>18</xdr:col>
      <xdr:colOff>542924</xdr:colOff>
      <xdr:row>15</xdr:row>
      <xdr:rowOff>152399</xdr:rowOff>
    </xdr:to>
    <xdr:sp macro="" textlink="">
      <xdr:nvSpPr>
        <xdr:cNvPr id="5" name="Rectangular Callou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10800000" flipV="1">
          <a:off x="6038849" y="2552699"/>
          <a:ext cx="466725" cy="276225"/>
        </a:xfrm>
        <a:prstGeom prst="wedgeRectCallout">
          <a:avLst/>
        </a:prstGeom>
        <a:noFill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10</xdr:col>
      <xdr:colOff>47625</xdr:colOff>
      <xdr:row>32</xdr:row>
      <xdr:rowOff>152400</xdr:rowOff>
    </xdr:from>
    <xdr:to>
      <xdr:col>10</xdr:col>
      <xdr:colOff>285750</xdr:colOff>
      <xdr:row>34</xdr:row>
      <xdr:rowOff>38100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257550" y="5391150"/>
          <a:ext cx="238125" cy="20955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27</xdr:col>
      <xdr:colOff>104775</xdr:colOff>
      <xdr:row>2</xdr:row>
      <xdr:rowOff>123826</xdr:rowOff>
    </xdr:from>
    <xdr:to>
      <xdr:col>28</xdr:col>
      <xdr:colOff>590413</xdr:colOff>
      <xdr:row>11</xdr:row>
      <xdr:rowOff>123641</xdr:rowOff>
    </xdr:to>
    <xdr:pic>
      <xdr:nvPicPr>
        <xdr:cNvPr id="1026" name="Picture 2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725025" y="590551"/>
          <a:ext cx="1095238" cy="1485715"/>
        </a:xfrm>
        <a:prstGeom prst="rect">
          <a:avLst/>
        </a:prstGeom>
        <a:noFill/>
      </xdr:spPr>
    </xdr:pic>
    <xdr:clientData/>
  </xdr:twoCellAnchor>
  <xdr:twoCellAnchor editAs="oneCell">
    <xdr:from>
      <xdr:col>27</xdr:col>
      <xdr:colOff>142875</xdr:colOff>
      <xdr:row>12</xdr:row>
      <xdr:rowOff>38100</xdr:rowOff>
    </xdr:from>
    <xdr:to>
      <xdr:col>29</xdr:col>
      <xdr:colOff>457198</xdr:colOff>
      <xdr:row>14</xdr:row>
      <xdr:rowOff>152400</xdr:rowOff>
    </xdr:to>
    <xdr:pic>
      <xdr:nvPicPr>
        <xdr:cNvPr id="7" name="Picture 6" descr="http://www.studentschillout.com/wp/wp-content/uploads/2015/04/logoCV.jp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829800" y="2171700"/>
          <a:ext cx="1533523" cy="4572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19047</xdr:colOff>
      <xdr:row>14</xdr:row>
      <xdr:rowOff>180974</xdr:rowOff>
    </xdr:from>
    <xdr:to>
      <xdr:col>18</xdr:col>
      <xdr:colOff>561975</xdr:colOff>
      <xdr:row>16</xdr:row>
      <xdr:rowOff>123825</xdr:rowOff>
    </xdr:to>
    <xdr:sp macro="" textlink="">
      <xdr:nvSpPr>
        <xdr:cNvPr id="2" name="Rectangular Callou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0800000" flipV="1">
          <a:off x="5600697" y="2686049"/>
          <a:ext cx="352428" cy="295276"/>
        </a:xfrm>
        <a:prstGeom prst="wedgeRectCallout">
          <a:avLst/>
        </a:prstGeom>
        <a:noFill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18</xdr:col>
      <xdr:colOff>0</xdr:colOff>
      <xdr:row>15</xdr:row>
      <xdr:rowOff>0</xdr:rowOff>
    </xdr:from>
    <xdr:to>
      <xdr:col>18</xdr:col>
      <xdr:colOff>438150</xdr:colOff>
      <xdr:row>16</xdr:row>
      <xdr:rowOff>155576</xdr:rowOff>
    </xdr:to>
    <xdr:sp macro="" textlink="">
      <xdr:nvSpPr>
        <xdr:cNvPr id="5" name="Rectangular Callou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10800000" flipV="1">
          <a:off x="5581650" y="2695575"/>
          <a:ext cx="371475" cy="317501"/>
        </a:xfrm>
        <a:prstGeom prst="wedgeRectCallout">
          <a:avLst/>
        </a:prstGeom>
        <a:noFill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18</xdr:col>
      <xdr:colOff>57150</xdr:colOff>
      <xdr:row>8</xdr:row>
      <xdr:rowOff>38100</xdr:rowOff>
    </xdr:from>
    <xdr:to>
      <xdr:col>18</xdr:col>
      <xdr:colOff>276225</xdr:colOff>
      <xdr:row>9</xdr:row>
      <xdr:rowOff>76200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638800" y="1581150"/>
          <a:ext cx="219075" cy="2190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38100</xdr:colOff>
      <xdr:row>32</xdr:row>
      <xdr:rowOff>142875</xdr:rowOff>
    </xdr:from>
    <xdr:to>
      <xdr:col>4</xdr:col>
      <xdr:colOff>257175</xdr:colOff>
      <xdr:row>34</xdr:row>
      <xdr:rowOff>38100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52525" y="6048375"/>
          <a:ext cx="219075" cy="2190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19047</xdr:colOff>
      <xdr:row>14</xdr:row>
      <xdr:rowOff>180974</xdr:rowOff>
    </xdr:from>
    <xdr:to>
      <xdr:col>18</xdr:col>
      <xdr:colOff>561975</xdr:colOff>
      <xdr:row>16</xdr:row>
      <xdr:rowOff>123825</xdr:rowOff>
    </xdr:to>
    <xdr:sp macro="" textlink="">
      <xdr:nvSpPr>
        <xdr:cNvPr id="2" name="Rectangular Callout 1">
          <a:extLst>
            <a:ext uri="{FF2B5EF4-FFF2-40B4-BE49-F238E27FC236}">
              <a16:creationId xmlns:a16="http://schemas.microsoft.com/office/drawing/2014/main" id="{6EAA6FB4-1907-4EBB-BB2F-AC166F839DC0}"/>
            </a:ext>
          </a:extLst>
        </xdr:cNvPr>
        <xdr:cNvSpPr/>
      </xdr:nvSpPr>
      <xdr:spPr>
        <a:xfrm rot="10800000" flipV="1">
          <a:off x="5600697" y="2714624"/>
          <a:ext cx="352428" cy="342901"/>
        </a:xfrm>
        <a:prstGeom prst="wedgeRectCallout">
          <a:avLst/>
        </a:prstGeom>
        <a:noFill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18</xdr:col>
      <xdr:colOff>85725</xdr:colOff>
      <xdr:row>8</xdr:row>
      <xdr:rowOff>9525</xdr:rowOff>
    </xdr:from>
    <xdr:to>
      <xdr:col>18</xdr:col>
      <xdr:colOff>304800</xdr:colOff>
      <xdr:row>9</xdr:row>
      <xdr:rowOff>47625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E618D129-C8D1-41D4-BE79-2C04F60D6D76}"/>
            </a:ext>
          </a:extLst>
        </xdr:cNvPr>
        <xdr:cNvSpPr/>
      </xdr:nvSpPr>
      <xdr:spPr>
        <a:xfrm>
          <a:off x="5638800" y="1552575"/>
          <a:ext cx="219075" cy="2190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5</xdr:col>
      <xdr:colOff>47625</xdr:colOff>
      <xdr:row>32</xdr:row>
      <xdr:rowOff>0</xdr:rowOff>
    </xdr:from>
    <xdr:to>
      <xdr:col>5</xdr:col>
      <xdr:colOff>266700</xdr:colOff>
      <xdr:row>33</xdr:row>
      <xdr:rowOff>57150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BC521638-04C0-468D-8F17-274504C86538}"/>
            </a:ext>
          </a:extLst>
        </xdr:cNvPr>
        <xdr:cNvSpPr/>
      </xdr:nvSpPr>
      <xdr:spPr>
        <a:xfrm>
          <a:off x="1504950" y="5715000"/>
          <a:ext cx="219075" cy="2190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57150</xdr:colOff>
      <xdr:row>40</xdr:row>
      <xdr:rowOff>0</xdr:rowOff>
    </xdr:from>
    <xdr:to>
      <xdr:col>2</xdr:col>
      <xdr:colOff>276225</xdr:colOff>
      <xdr:row>41</xdr:row>
      <xdr:rowOff>57150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8DF2C078-ED64-4430-8612-86E53E29C3D4}"/>
            </a:ext>
          </a:extLst>
        </xdr:cNvPr>
        <xdr:cNvSpPr/>
      </xdr:nvSpPr>
      <xdr:spPr>
        <a:xfrm>
          <a:off x="485775" y="7000875"/>
          <a:ext cx="219075" cy="2190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19047</xdr:colOff>
      <xdr:row>14</xdr:row>
      <xdr:rowOff>180974</xdr:rowOff>
    </xdr:from>
    <xdr:to>
      <xdr:col>18</xdr:col>
      <xdr:colOff>561975</xdr:colOff>
      <xdr:row>16</xdr:row>
      <xdr:rowOff>123825</xdr:rowOff>
    </xdr:to>
    <xdr:sp macro="" textlink="">
      <xdr:nvSpPr>
        <xdr:cNvPr id="2" name="Rectangular Callout 1">
          <a:extLst>
            <a:ext uri="{FF2B5EF4-FFF2-40B4-BE49-F238E27FC236}">
              <a16:creationId xmlns:a16="http://schemas.microsoft.com/office/drawing/2014/main" id="{6DF153BF-6403-46AF-A0F7-489BE4FC0A58}"/>
            </a:ext>
          </a:extLst>
        </xdr:cNvPr>
        <xdr:cNvSpPr/>
      </xdr:nvSpPr>
      <xdr:spPr>
        <a:xfrm rot="10800000" flipV="1">
          <a:off x="5572122" y="2686049"/>
          <a:ext cx="352428" cy="342901"/>
        </a:xfrm>
        <a:prstGeom prst="wedgeRectCallout">
          <a:avLst/>
        </a:prstGeom>
        <a:noFill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18</xdr:col>
      <xdr:colOff>85725</xdr:colOff>
      <xdr:row>8</xdr:row>
      <xdr:rowOff>9525</xdr:rowOff>
    </xdr:from>
    <xdr:to>
      <xdr:col>18</xdr:col>
      <xdr:colOff>304800</xdr:colOff>
      <xdr:row>9</xdr:row>
      <xdr:rowOff>47625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9CF8CDEA-77D2-4366-865A-947E2C661A4F}"/>
            </a:ext>
          </a:extLst>
        </xdr:cNvPr>
        <xdr:cNvSpPr/>
      </xdr:nvSpPr>
      <xdr:spPr>
        <a:xfrm>
          <a:off x="5638800" y="1552575"/>
          <a:ext cx="219075" cy="2190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27</xdr:col>
      <xdr:colOff>161925</xdr:colOff>
      <xdr:row>2</xdr:row>
      <xdr:rowOff>152401</xdr:rowOff>
    </xdr:from>
    <xdr:to>
      <xdr:col>29</xdr:col>
      <xdr:colOff>37963</xdr:colOff>
      <xdr:row>11</xdr:row>
      <xdr:rowOff>57150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48641DCF-B8CA-4039-BCB9-338271E420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201150" y="676276"/>
          <a:ext cx="1095238" cy="139064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27</xdr:col>
      <xdr:colOff>200025</xdr:colOff>
      <xdr:row>21</xdr:row>
      <xdr:rowOff>57150</xdr:rowOff>
    </xdr:from>
    <xdr:to>
      <xdr:col>29</xdr:col>
      <xdr:colOff>19050</xdr:colOff>
      <xdr:row>22</xdr:row>
      <xdr:rowOff>133350</xdr:rowOff>
    </xdr:to>
    <xdr:sp macro="" textlink="">
      <xdr:nvSpPr>
        <xdr:cNvPr id="7" name="Rounded 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3A8BBE7-CA4B-4F96-864C-7DC84540488A}"/>
            </a:ext>
          </a:extLst>
        </xdr:cNvPr>
        <xdr:cNvSpPr/>
      </xdr:nvSpPr>
      <xdr:spPr>
        <a:xfrm>
          <a:off x="9305925" y="4210050"/>
          <a:ext cx="1038225" cy="2381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Time Sheet</a:t>
          </a:r>
        </a:p>
      </xdr:txBody>
    </xdr:sp>
    <xdr:clientData/>
  </xdr:twoCellAnchor>
  <xdr:twoCellAnchor>
    <xdr:from>
      <xdr:col>27</xdr:col>
      <xdr:colOff>209550</xdr:colOff>
      <xdr:row>15</xdr:row>
      <xdr:rowOff>161925</xdr:rowOff>
    </xdr:from>
    <xdr:to>
      <xdr:col>29</xdr:col>
      <xdr:colOff>19050</xdr:colOff>
      <xdr:row>17</xdr:row>
      <xdr:rowOff>123825</xdr:rowOff>
    </xdr:to>
    <xdr:sp macro="" textlink="">
      <xdr:nvSpPr>
        <xdr:cNvPr id="8" name="Rounded Rectangle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2A61149-CF16-4F76-B3E8-05B9572937DF}"/>
            </a:ext>
          </a:extLst>
        </xdr:cNvPr>
        <xdr:cNvSpPr/>
      </xdr:nvSpPr>
      <xdr:spPr>
        <a:xfrm>
          <a:off x="9315450" y="3095625"/>
          <a:ext cx="1028700" cy="3429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Passport</a:t>
          </a:r>
          <a:r>
            <a:rPr lang="en-US" sz="1100" baseline="0"/>
            <a:t> &amp;Visa</a:t>
          </a:r>
          <a:endParaRPr lang="en-US" sz="1100"/>
        </a:p>
      </xdr:txBody>
    </xdr:sp>
    <xdr:clientData/>
  </xdr:twoCellAnchor>
  <xdr:twoCellAnchor>
    <xdr:from>
      <xdr:col>27</xdr:col>
      <xdr:colOff>209550</xdr:colOff>
      <xdr:row>13</xdr:row>
      <xdr:rowOff>38100</xdr:rowOff>
    </xdr:from>
    <xdr:to>
      <xdr:col>28</xdr:col>
      <xdr:colOff>533400</xdr:colOff>
      <xdr:row>14</xdr:row>
      <xdr:rowOff>142875</xdr:rowOff>
    </xdr:to>
    <xdr:sp macro="" textlink="">
      <xdr:nvSpPr>
        <xdr:cNvPr id="9" name="Rounded 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A338C13-BD2A-49D9-91FB-31B76F63661F}"/>
            </a:ext>
          </a:extLst>
        </xdr:cNvPr>
        <xdr:cNvSpPr/>
      </xdr:nvSpPr>
      <xdr:spPr>
        <a:xfrm>
          <a:off x="9315450" y="2571750"/>
          <a:ext cx="933450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Personal</a:t>
          </a:r>
          <a:r>
            <a:rPr lang="en-US" sz="1100" baseline="0"/>
            <a:t> File</a:t>
          </a:r>
          <a:endParaRPr lang="en-US" sz="1100"/>
        </a:p>
      </xdr:txBody>
    </xdr:sp>
    <xdr:clientData/>
  </xdr:twoCellAnchor>
  <xdr:twoCellAnchor>
    <xdr:from>
      <xdr:col>27</xdr:col>
      <xdr:colOff>190500</xdr:colOff>
      <xdr:row>18</xdr:row>
      <xdr:rowOff>142875</xdr:rowOff>
    </xdr:from>
    <xdr:to>
      <xdr:col>28</xdr:col>
      <xdr:colOff>590550</xdr:colOff>
      <xdr:row>20</xdr:row>
      <xdr:rowOff>28574</xdr:rowOff>
    </xdr:to>
    <xdr:sp macro="" textlink="">
      <xdr:nvSpPr>
        <xdr:cNvPr id="10" name="Rounded Rectangle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356DDAA-D05E-4AD8-83A9-A3C49BB60A46}"/>
            </a:ext>
          </a:extLst>
        </xdr:cNvPr>
        <xdr:cNvSpPr/>
      </xdr:nvSpPr>
      <xdr:spPr>
        <a:xfrm>
          <a:off x="9296400" y="3667125"/>
          <a:ext cx="1009650" cy="304799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Leave Calculation</a:t>
          </a:r>
        </a:p>
      </xdr:txBody>
    </xdr:sp>
    <xdr:clientData/>
  </xdr:twoCellAnchor>
  <xdr:twoCellAnchor>
    <xdr:from>
      <xdr:col>27</xdr:col>
      <xdr:colOff>161925</xdr:colOff>
      <xdr:row>24</xdr:row>
      <xdr:rowOff>47625</xdr:rowOff>
    </xdr:from>
    <xdr:to>
      <xdr:col>28</xdr:col>
      <xdr:colOff>590550</xdr:colOff>
      <xdr:row>25</xdr:row>
      <xdr:rowOff>152400</xdr:rowOff>
    </xdr:to>
    <xdr:sp macro="" textlink="">
      <xdr:nvSpPr>
        <xdr:cNvPr id="11" name="Rounded Rectangle 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CFA0FDC-83A9-4877-A868-396C1ACA806D}"/>
            </a:ext>
          </a:extLst>
        </xdr:cNvPr>
        <xdr:cNvSpPr/>
      </xdr:nvSpPr>
      <xdr:spPr>
        <a:xfrm>
          <a:off x="9267825" y="4724400"/>
          <a:ext cx="1038225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Milcri CV</a:t>
          </a:r>
        </a:p>
      </xdr:txBody>
    </xdr:sp>
    <xdr:clientData/>
  </xdr:twoCellAnchor>
  <xdr:twoCellAnchor>
    <xdr:from>
      <xdr:col>27</xdr:col>
      <xdr:colOff>180975</xdr:colOff>
      <xdr:row>29</xdr:row>
      <xdr:rowOff>123825</xdr:rowOff>
    </xdr:from>
    <xdr:to>
      <xdr:col>29</xdr:col>
      <xdr:colOff>0</xdr:colOff>
      <xdr:row>31</xdr:row>
      <xdr:rowOff>66675</xdr:rowOff>
    </xdr:to>
    <xdr:sp macro="" textlink="">
      <xdr:nvSpPr>
        <xdr:cNvPr id="12" name="Rounded Rectangle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D3458D4-FB74-413C-AC8D-EFAAA0913EFD}"/>
            </a:ext>
          </a:extLst>
        </xdr:cNvPr>
        <xdr:cNvSpPr/>
      </xdr:nvSpPr>
      <xdr:spPr>
        <a:xfrm>
          <a:off x="9286875" y="5610225"/>
          <a:ext cx="1038225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Contract</a:t>
          </a:r>
          <a:r>
            <a:rPr lang="en-US" sz="1100" baseline="0"/>
            <a:t> Doc</a:t>
          </a:r>
          <a:endParaRPr lang="en-US" sz="1100"/>
        </a:p>
      </xdr:txBody>
    </xdr:sp>
    <xdr:clientData/>
  </xdr:twoCellAnchor>
  <xdr:twoCellAnchor>
    <xdr:from>
      <xdr:col>27</xdr:col>
      <xdr:colOff>180975</xdr:colOff>
      <xdr:row>27</xdr:row>
      <xdr:rowOff>0</xdr:rowOff>
    </xdr:from>
    <xdr:to>
      <xdr:col>29</xdr:col>
      <xdr:colOff>0</xdr:colOff>
      <xdr:row>28</xdr:row>
      <xdr:rowOff>104775</xdr:rowOff>
    </xdr:to>
    <xdr:sp macro="" textlink="">
      <xdr:nvSpPr>
        <xdr:cNvPr id="13" name="Rounded Rectangle 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1588584-08BB-4DEC-934A-3A83F9877FC1}"/>
            </a:ext>
          </a:extLst>
        </xdr:cNvPr>
        <xdr:cNvSpPr/>
      </xdr:nvSpPr>
      <xdr:spPr>
        <a:xfrm>
          <a:off x="9286875" y="5162550"/>
          <a:ext cx="1038225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General</a:t>
          </a:r>
          <a:r>
            <a:rPr lang="en-US" sz="1100" baseline="0"/>
            <a:t> </a:t>
          </a:r>
          <a:r>
            <a:rPr lang="en-US" sz="1100"/>
            <a:t>CV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200025</xdr:colOff>
      <xdr:row>0</xdr:row>
      <xdr:rowOff>66675</xdr:rowOff>
    </xdr:from>
    <xdr:to>
      <xdr:col>14</xdr:col>
      <xdr:colOff>600075</xdr:colOff>
      <xdr:row>1</xdr:row>
      <xdr:rowOff>152399</xdr:rowOff>
    </xdr:to>
    <xdr:sp macro="" textlink="">
      <xdr:nvSpPr>
        <xdr:cNvPr id="2" name="Rounded 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4CFDF4-E4D6-460C-8DB1-20951719F5CC}"/>
            </a:ext>
          </a:extLst>
        </xdr:cNvPr>
        <xdr:cNvSpPr/>
      </xdr:nvSpPr>
      <xdr:spPr>
        <a:xfrm>
          <a:off x="8667750" y="66675"/>
          <a:ext cx="1009650" cy="304799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152400</xdr:colOff>
      <xdr:row>0</xdr:row>
      <xdr:rowOff>66675</xdr:rowOff>
    </xdr:from>
    <xdr:to>
      <xdr:col>12</xdr:col>
      <xdr:colOff>558800</xdr:colOff>
      <xdr:row>1</xdr:row>
      <xdr:rowOff>155574</xdr:rowOff>
    </xdr:to>
    <xdr:sp macro="" textlink="">
      <xdr:nvSpPr>
        <xdr:cNvPr id="2" name="Rounded 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3E3212-1A21-41D2-AD66-BEC72CF34F11}"/>
            </a:ext>
          </a:extLst>
        </xdr:cNvPr>
        <xdr:cNvSpPr/>
      </xdr:nvSpPr>
      <xdr:spPr>
        <a:xfrm>
          <a:off x="7496175" y="66675"/>
          <a:ext cx="1016000" cy="307974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342900</xdr:colOff>
      <xdr:row>28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438900" cy="45339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30</xdr:row>
      <xdr:rowOff>85725</xdr:rowOff>
    </xdr:from>
    <xdr:to>
      <xdr:col>6</xdr:col>
      <xdr:colOff>9525</xdr:colOff>
      <xdr:row>67</xdr:row>
      <xdr:rowOff>133350</xdr:rowOff>
    </xdr:to>
    <xdr:pic>
      <xdr:nvPicPr>
        <xdr:cNvPr id="3" name="Picture 6">
          <a:extLst>
            <a:ext uri="{FF2B5EF4-FFF2-40B4-BE49-F238E27FC236}">
              <a16:creationId xmlns:a16="http://schemas.microsoft.com/office/drawing/2014/main" id="{91C33AC3-D2B9-4E97-B434-AF1DE22AC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4943475"/>
          <a:ext cx="3743325" cy="6038850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542925</xdr:colOff>
      <xdr:row>13</xdr:row>
      <xdr:rowOff>133350</xdr:rowOff>
    </xdr:from>
    <xdr:to>
      <xdr:col>18</xdr:col>
      <xdr:colOff>466725</xdr:colOff>
      <xdr:row>29</xdr:row>
      <xdr:rowOff>9525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9934060A-42A1-4F38-A75C-DA94CC8C35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324725" y="2238375"/>
          <a:ext cx="4191000" cy="2466975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590550</xdr:colOff>
      <xdr:row>30</xdr:row>
      <xdr:rowOff>19050</xdr:rowOff>
    </xdr:from>
    <xdr:to>
      <xdr:col>18</xdr:col>
      <xdr:colOff>581025</xdr:colOff>
      <xdr:row>47</xdr:row>
      <xdr:rowOff>57150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7C0DA24-4792-49D5-8581-AB5C1EB4BD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 rot="5400000">
          <a:off x="8105775" y="4143375"/>
          <a:ext cx="2790825" cy="4257675"/>
        </a:xfrm>
        <a:prstGeom prst="rect">
          <a:avLst/>
        </a:prstGeom>
        <a:noFill/>
      </xdr:spPr>
    </xdr:pic>
    <xdr:clientData/>
  </xdr:twoCellAnchor>
  <xdr:twoCellAnchor>
    <xdr:from>
      <xdr:col>15</xdr:col>
      <xdr:colOff>190500</xdr:colOff>
      <xdr:row>0</xdr:row>
      <xdr:rowOff>95250</xdr:rowOff>
    </xdr:from>
    <xdr:to>
      <xdr:col>16</xdr:col>
      <xdr:colOff>590550</xdr:colOff>
      <xdr:row>2</xdr:row>
      <xdr:rowOff>76199</xdr:rowOff>
    </xdr:to>
    <xdr:sp macro="" textlink="">
      <xdr:nvSpPr>
        <xdr:cNvPr id="7" name="Rounded Rectangle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4516096-F83E-47FB-8AA5-68B71C0615E2}"/>
            </a:ext>
          </a:extLst>
        </xdr:cNvPr>
        <xdr:cNvSpPr/>
      </xdr:nvSpPr>
      <xdr:spPr>
        <a:xfrm>
          <a:off x="9410700" y="95250"/>
          <a:ext cx="1009650" cy="304799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590550</xdr:colOff>
      <xdr:row>0</xdr:row>
      <xdr:rowOff>9525</xdr:rowOff>
    </xdr:from>
    <xdr:to>
      <xdr:col>15</xdr:col>
      <xdr:colOff>514350</xdr:colOff>
      <xdr:row>15</xdr:row>
      <xdr:rowOff>47625</xdr:rowOff>
    </xdr:to>
    <xdr:pic>
      <xdr:nvPicPr>
        <xdr:cNvPr id="1026" name="Picture 2">
          <a:extLst>
            <a:ext uri="{FF2B5EF4-FFF2-40B4-BE49-F238E27FC236}">
              <a16:creationId xmlns:a16="http://schemas.microsoft.com/office/drawing/2014/main" id="{00000000-0008-0000-08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467350" y="9525"/>
          <a:ext cx="4191000" cy="2466975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38100</xdr:colOff>
      <xdr:row>17</xdr:row>
      <xdr:rowOff>57150</xdr:rowOff>
    </xdr:from>
    <xdr:to>
      <xdr:col>16</xdr:col>
      <xdr:colOff>28575</xdr:colOff>
      <xdr:row>34</xdr:row>
      <xdr:rowOff>95250</xdr:rowOff>
    </xdr:to>
    <xdr:pic>
      <xdr:nvPicPr>
        <xdr:cNvPr id="1028" name="Picture 4">
          <a:extLst>
            <a:ext uri="{FF2B5EF4-FFF2-40B4-BE49-F238E27FC236}">
              <a16:creationId xmlns:a16="http://schemas.microsoft.com/office/drawing/2014/main" id="{00000000-0008-0000-08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 rot="5400000">
          <a:off x="6257925" y="2076450"/>
          <a:ext cx="2790825" cy="425767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9525</xdr:colOff>
      <xdr:row>37</xdr:row>
      <xdr:rowOff>47625</xdr:rowOff>
    </xdr:to>
    <xdr:pic>
      <xdr:nvPicPr>
        <xdr:cNvPr id="1030" name="Picture 6">
          <a:extLst>
            <a:ext uri="{FF2B5EF4-FFF2-40B4-BE49-F238E27FC236}">
              <a16:creationId xmlns:a16="http://schemas.microsoft.com/office/drawing/2014/main" id="{00000000-0008-0000-08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0" y="0"/>
          <a:ext cx="3667125" cy="6038850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kupsvr\09%20Administration\HR\Attendancesummary201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1\s\09%20Administration\HR\Attendance-201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Relavent%20Files/Updated%20Staff%20Attendance-20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tendance from November 2015"/>
    </sheetNames>
    <sheetDataSet>
      <sheetData sheetId="0">
        <row r="6">
          <cell r="H6">
            <v>178</v>
          </cell>
        </row>
        <row r="71">
          <cell r="H71">
            <v>342.5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tendance"/>
    </sheetNames>
    <sheetDataSet>
      <sheetData sheetId="0">
        <row r="48">
          <cell r="H48">
            <v>282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tendance"/>
    </sheetNames>
    <sheetDataSet>
      <sheetData sheetId="0">
        <row r="36">
          <cell r="H36">
            <v>8</v>
          </cell>
        </row>
      </sheetData>
    </sheetDataSet>
  </externalBook>
</externalLink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edian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Median">
      <a:majorFont>
        <a:latin typeface="Tw Cen MT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Tw Cen MT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Median">
      <a:fillStyleLst>
        <a:solidFill>
          <a:schemeClr val="phClr"/>
        </a:solidFill>
        <a:solidFill>
          <a:schemeClr val="phClr">
            <a:tint val="50000"/>
          </a:schemeClr>
        </a:solidFill>
        <a:solidFill>
          <a:schemeClr val="phClr"/>
        </a:solidFill>
      </a:fillStyleLst>
      <a:lnStyleLst>
        <a:ln w="10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47625" cap="flat" cmpd="dbl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300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38100" dist="300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  <a:scene3d>
            <a:camera prst="isometricTopDown" fov="0">
              <a:rot lat="0" lon="0" rev="0"/>
            </a:camera>
            <a:lightRig rig="balanced" dir="t">
              <a:rot lat="0" lon="0" rev="13800000"/>
            </a:lightRig>
          </a:scene3d>
          <a:sp3d extrusionH="12700" prstMaterial="plastic">
            <a:bevelT w="38100" h="25400" prst="softRound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shade val="90000"/>
                <a:satMod val="140000"/>
              </a:schemeClr>
              <a:schemeClr val="phClr">
                <a:satMod val="120000"/>
              </a:schemeClr>
            </a:duotone>
          </a:blip>
          <a:tile tx="0" ty="0" sx="100000" sy="100000" flip="none" algn="tl"/>
        </a:blipFill>
        <a:blipFill>
          <a:blip xmlns:r="http://schemas.openxmlformats.org/officeDocument/2006/relationships" r:embed="rId2">
            <a:duotone>
              <a:schemeClr val="phClr">
                <a:shade val="90000"/>
                <a:satMod val="140000"/>
              </a:schemeClr>
              <a:schemeClr val="phClr">
                <a:satMod val="12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anjeewa@milcris.or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sanjeewa@milcris.org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hyperlink" Target="file:///\\Bkupsvr\G\05%20Quality_System\Quality%20System\5%20Milcris%20Admin%20Forms\Form%209%20%20Local%20Leave%20Application%20form-R2-Dec2015.pdf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file:///\\Bkupsvr\G\05%20Quality_System\Quality%20System\5%20Milcris%20Admin%20Forms\Form%2011%20Medical%20leave%20application-Rev2May15.pdf" TargetMode="External"/><Relationship Id="rId1" Type="http://schemas.openxmlformats.org/officeDocument/2006/relationships/hyperlink" Target="file:///\\Bkupsvr\G\05%20Quality_System\Quality%20System\5%20Milcris%20Admin%20Forms\Form%2010%20Annual%20leave%20application-Rev4May15.pdf" TargetMode="Externa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file:///\\Bkupsvr\G\05%20Quality_System\Quality%20System\5%20Milcris%20Admin%20Forms\Form%2013%20Rejoining%20Duty%20Report%20Form.pdf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file:///\\Bkupsvr\G\05%20Quality_System\Quality%20System\5%20Milcris%20Admin%20Forms\Form%2011%20Medical%20leave%20application-Rev2May15.pdf" TargetMode="External"/><Relationship Id="rId7" Type="http://schemas.openxmlformats.org/officeDocument/2006/relationships/drawing" Target="../drawings/drawing4.xml"/><Relationship Id="rId2" Type="http://schemas.openxmlformats.org/officeDocument/2006/relationships/hyperlink" Target="file:///\\Bkupsvr\G\05%20Quality_System\Quality%20System\5%20Milcris%20Admin%20Forms\Form%2010%20Annual%20leave%20application-Rev4May15.pdf" TargetMode="External"/><Relationship Id="rId1" Type="http://schemas.openxmlformats.org/officeDocument/2006/relationships/hyperlink" Target="mailto:sanjeewa@milcris.org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file:///\\Bkupsvr\G\05%20Quality_System\Quality%20System\5%20Milcris%20Admin%20Forms\Form%2013%20Rejoining%20Duty%20Report%20Form.pdf" TargetMode="External"/><Relationship Id="rId4" Type="http://schemas.openxmlformats.org/officeDocument/2006/relationships/hyperlink" Target="file:///\\Bkupsvr\G\05%20Quality_System\Quality%20System\5%20Milcris%20Admin%20Forms\Form%209%20%20Local%20Leave%20Application%20form-R2-Dec2015.pdf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A53"/>
  <sheetViews>
    <sheetView topLeftCell="A13" workbookViewId="0">
      <selection activeCell="J34" sqref="J34"/>
    </sheetView>
  </sheetViews>
  <sheetFormatPr defaultRowHeight="12.75" x14ac:dyDescent="0.2"/>
  <cols>
    <col min="1" max="1" width="1.28515625" style="2" customWidth="1"/>
    <col min="2" max="8" width="5.140625" style="2" customWidth="1"/>
    <col min="9" max="9" width="5.7109375" style="2" customWidth="1"/>
    <col min="10" max="16" width="5.140625" style="2" customWidth="1"/>
    <col min="17" max="17" width="1.28515625" style="2" customWidth="1"/>
    <col min="18" max="20" width="9.140625" style="2"/>
    <col min="21" max="21" width="10.140625" style="2" bestFit="1" customWidth="1"/>
    <col min="22" max="22" width="9.140625" style="2"/>
    <col min="23" max="25" width="0" style="2" hidden="1" customWidth="1"/>
    <col min="26" max="16384" width="9.140625" style="2"/>
  </cols>
  <sheetData>
    <row r="1" spans="1:27" ht="26.1" customHeight="1" x14ac:dyDescent="0.2">
      <c r="A1" s="1"/>
      <c r="B1" s="296">
        <v>2015</v>
      </c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7"/>
      <c r="S1" s="49" t="s">
        <v>28</v>
      </c>
    </row>
    <row r="2" spans="1:27" ht="11.25" customHeight="1" x14ac:dyDescent="0.25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S2" s="50" t="s">
        <v>25</v>
      </c>
    </row>
    <row r="3" spans="1:27" x14ac:dyDescent="0.2">
      <c r="A3" s="1"/>
      <c r="B3" s="290" t="s">
        <v>0</v>
      </c>
      <c r="C3" s="290"/>
      <c r="D3" s="290"/>
      <c r="E3" s="290"/>
      <c r="F3" s="290"/>
      <c r="G3" s="290"/>
      <c r="H3" s="290"/>
      <c r="I3" s="4"/>
      <c r="J3" s="290" t="s">
        <v>1</v>
      </c>
      <c r="K3" s="290"/>
      <c r="L3" s="290"/>
      <c r="M3" s="290"/>
      <c r="N3" s="290"/>
      <c r="O3" s="290"/>
      <c r="P3" s="290"/>
      <c r="Q3" s="5"/>
      <c r="X3" s="51"/>
      <c r="Y3" s="51"/>
      <c r="Z3" s="51"/>
      <c r="AA3" s="51"/>
    </row>
    <row r="4" spans="1:27" x14ac:dyDescent="0.2">
      <c r="A4" s="1"/>
      <c r="B4" s="6" t="s">
        <v>2</v>
      </c>
      <c r="C4" s="6" t="s">
        <v>3</v>
      </c>
      <c r="D4" s="6" t="s">
        <v>4</v>
      </c>
      <c r="E4" s="6" t="s">
        <v>5</v>
      </c>
      <c r="F4" s="6" t="s">
        <v>4</v>
      </c>
      <c r="G4" s="6" t="s">
        <v>6</v>
      </c>
      <c r="H4" s="6" t="s">
        <v>2</v>
      </c>
      <c r="I4" s="7"/>
      <c r="J4" s="6" t="s">
        <v>2</v>
      </c>
      <c r="K4" s="6" t="s">
        <v>3</v>
      </c>
      <c r="L4" s="6" t="s">
        <v>4</v>
      </c>
      <c r="M4" s="6" t="s">
        <v>5</v>
      </c>
      <c r="N4" s="6" t="s">
        <v>4</v>
      </c>
      <c r="O4" s="6" t="s">
        <v>6</v>
      </c>
      <c r="P4" s="6" t="s">
        <v>2</v>
      </c>
      <c r="Q4" s="5"/>
      <c r="V4" s="1"/>
      <c r="W4" s="1"/>
      <c r="X4" s="52" t="s">
        <v>24</v>
      </c>
      <c r="Y4" s="52"/>
      <c r="Z4" s="53" t="s">
        <v>26</v>
      </c>
      <c r="AA4" s="53" t="s">
        <v>27</v>
      </c>
    </row>
    <row r="5" spans="1:27" ht="14.25" x14ac:dyDescent="0.2">
      <c r="A5" s="1"/>
      <c r="B5" s="293"/>
      <c r="C5" s="294"/>
      <c r="D5" s="294"/>
      <c r="E5" s="295"/>
      <c r="F5" s="11">
        <v>1</v>
      </c>
      <c r="G5" s="11">
        <v>2</v>
      </c>
      <c r="H5" s="9">
        <v>3</v>
      </c>
      <c r="I5" s="7"/>
      <c r="J5" s="9">
        <v>1</v>
      </c>
      <c r="K5" s="11">
        <v>2</v>
      </c>
      <c r="L5" s="11">
        <v>3</v>
      </c>
      <c r="M5" s="11">
        <v>4</v>
      </c>
      <c r="N5" s="11">
        <v>5</v>
      </c>
      <c r="O5" s="11">
        <v>6</v>
      </c>
      <c r="P5" s="11">
        <v>7</v>
      </c>
      <c r="Q5" s="5"/>
      <c r="S5" s="39"/>
      <c r="T5" s="40" t="s">
        <v>17</v>
      </c>
      <c r="U5" s="40"/>
      <c r="V5" s="54"/>
      <c r="W5" s="1">
        <f>Z5/2</f>
        <v>0</v>
      </c>
      <c r="X5" s="300">
        <f ca="1">CountCellsByColor(A1:Q52,S5)</f>
        <v>29</v>
      </c>
      <c r="Y5" s="301"/>
      <c r="Z5" s="55"/>
      <c r="AA5" s="55">
        <f ca="1">X5-W5</f>
        <v>29</v>
      </c>
    </row>
    <row r="6" spans="1:27" ht="14.25" x14ac:dyDescent="0.2">
      <c r="A6" s="1"/>
      <c r="B6" s="9">
        <v>4</v>
      </c>
      <c r="C6" s="11">
        <v>5</v>
      </c>
      <c r="D6" s="11">
        <v>6</v>
      </c>
      <c r="E6" s="11">
        <v>7</v>
      </c>
      <c r="F6" s="11">
        <v>8</v>
      </c>
      <c r="G6" s="11">
        <v>9</v>
      </c>
      <c r="H6" s="9">
        <v>10</v>
      </c>
      <c r="I6" s="7"/>
      <c r="J6" s="9">
        <v>8</v>
      </c>
      <c r="K6" s="11">
        <v>9</v>
      </c>
      <c r="L6" s="11">
        <v>10</v>
      </c>
      <c r="M6" s="11">
        <v>11</v>
      </c>
      <c r="N6" s="11">
        <v>12</v>
      </c>
      <c r="O6" s="11">
        <v>13</v>
      </c>
      <c r="P6" s="9">
        <v>14</v>
      </c>
      <c r="Q6" s="5"/>
      <c r="S6" s="41"/>
      <c r="T6" s="40" t="s">
        <v>18</v>
      </c>
      <c r="U6" s="40"/>
      <c r="V6" s="54"/>
      <c r="W6" s="1">
        <f t="shared" ref="W6:W13" si="0">Z6/2</f>
        <v>0</v>
      </c>
      <c r="X6" s="300">
        <f ca="1">CountCellsByColor(C3:Q53,S6)</f>
        <v>0</v>
      </c>
      <c r="Y6" s="301"/>
      <c r="Z6" s="55"/>
      <c r="AA6" s="55">
        <f ca="1">X6-W6</f>
        <v>0</v>
      </c>
    </row>
    <row r="7" spans="1:27" ht="14.25" x14ac:dyDescent="0.2">
      <c r="A7" s="1"/>
      <c r="B7" s="9">
        <v>11</v>
      </c>
      <c r="C7" s="11">
        <v>12</v>
      </c>
      <c r="D7" s="11">
        <v>13</v>
      </c>
      <c r="E7" s="11">
        <v>14</v>
      </c>
      <c r="F7" s="11">
        <v>15</v>
      </c>
      <c r="G7" s="11">
        <v>16</v>
      </c>
      <c r="H7" s="9">
        <v>17</v>
      </c>
      <c r="I7" s="7"/>
      <c r="J7" s="9">
        <v>15</v>
      </c>
      <c r="K7" s="11">
        <v>16</v>
      </c>
      <c r="L7" s="11">
        <v>17</v>
      </c>
      <c r="M7" s="11">
        <v>18</v>
      </c>
      <c r="N7" s="11">
        <v>19</v>
      </c>
      <c r="O7" s="11">
        <v>20</v>
      </c>
      <c r="P7" s="9">
        <v>21</v>
      </c>
      <c r="Q7" s="5"/>
      <c r="S7" s="45"/>
      <c r="T7" s="40" t="s">
        <v>19</v>
      </c>
      <c r="U7" s="40"/>
      <c r="V7" s="54"/>
      <c r="W7" s="1">
        <f t="shared" si="0"/>
        <v>0</v>
      </c>
      <c r="X7" s="300">
        <f ca="1">CountCellsByColor(C4:Q54,S7)</f>
        <v>0</v>
      </c>
      <c r="Y7" s="301"/>
      <c r="Z7" s="55"/>
      <c r="AA7" s="55">
        <f ca="1">X7-W7</f>
        <v>0</v>
      </c>
    </row>
    <row r="8" spans="1:27" ht="14.25" x14ac:dyDescent="0.2">
      <c r="A8" s="1"/>
      <c r="B8" s="9">
        <v>18</v>
      </c>
      <c r="C8" s="11">
        <v>19</v>
      </c>
      <c r="D8" s="11">
        <v>20</v>
      </c>
      <c r="E8" s="11">
        <v>21</v>
      </c>
      <c r="F8" s="11">
        <v>22</v>
      </c>
      <c r="G8" s="11">
        <v>23</v>
      </c>
      <c r="H8" s="9">
        <v>24</v>
      </c>
      <c r="I8" s="7"/>
      <c r="J8" s="9">
        <v>22</v>
      </c>
      <c r="K8" s="11">
        <v>23</v>
      </c>
      <c r="L8" s="11">
        <v>24</v>
      </c>
      <c r="M8" s="11">
        <v>25</v>
      </c>
      <c r="N8" s="11">
        <v>26</v>
      </c>
      <c r="O8" s="11">
        <v>27</v>
      </c>
      <c r="P8" s="9">
        <v>28</v>
      </c>
      <c r="Q8" s="5"/>
      <c r="T8" s="40"/>
      <c r="U8" s="40"/>
      <c r="V8" s="54"/>
      <c r="W8" s="1">
        <f t="shared" si="0"/>
        <v>0</v>
      </c>
      <c r="X8" s="56"/>
      <c r="Y8" s="56"/>
      <c r="Z8" s="57"/>
      <c r="AA8" s="57"/>
    </row>
    <row r="9" spans="1:27" ht="14.25" x14ac:dyDescent="0.2">
      <c r="A9" s="1"/>
      <c r="B9" s="11">
        <v>25</v>
      </c>
      <c r="C9" s="11">
        <v>26</v>
      </c>
      <c r="D9" s="11">
        <v>27</v>
      </c>
      <c r="E9" s="11">
        <v>28</v>
      </c>
      <c r="F9" s="11">
        <v>29</v>
      </c>
      <c r="G9" s="11">
        <v>30</v>
      </c>
      <c r="H9" s="9">
        <v>31</v>
      </c>
      <c r="I9" s="13"/>
      <c r="J9" s="291"/>
      <c r="K9" s="292"/>
      <c r="L9" s="292"/>
      <c r="M9" s="292"/>
      <c r="N9" s="292"/>
      <c r="O9" s="292"/>
      <c r="P9" s="292"/>
      <c r="Q9" s="5"/>
      <c r="T9" s="40" t="s">
        <v>20</v>
      </c>
      <c r="U9" s="40"/>
      <c r="V9" s="54"/>
      <c r="W9" s="1">
        <f t="shared" si="0"/>
        <v>0</v>
      </c>
      <c r="X9" s="56"/>
      <c r="Y9" s="56"/>
      <c r="Z9" s="57"/>
      <c r="AA9" s="57"/>
    </row>
    <row r="10" spans="1:27" ht="6" customHeight="1" x14ac:dyDescent="0.2">
      <c r="A10" s="1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T10" s="40"/>
      <c r="U10" s="40"/>
      <c r="V10" s="54"/>
      <c r="W10" s="1">
        <f t="shared" si="0"/>
        <v>0</v>
      </c>
      <c r="X10" s="56"/>
      <c r="Y10" s="56"/>
      <c r="Z10" s="57"/>
      <c r="AA10" s="57"/>
    </row>
    <row r="11" spans="1:27" ht="14.25" x14ac:dyDescent="0.2">
      <c r="A11" s="1"/>
      <c r="B11" s="290" t="s">
        <v>7</v>
      </c>
      <c r="C11" s="290"/>
      <c r="D11" s="290"/>
      <c r="E11" s="290"/>
      <c r="F11" s="290"/>
      <c r="G11" s="290"/>
      <c r="H11" s="290"/>
      <c r="I11" s="4"/>
      <c r="J11" s="298" t="s">
        <v>8</v>
      </c>
      <c r="K11" s="298"/>
      <c r="L11" s="298"/>
      <c r="M11" s="298"/>
      <c r="N11" s="298"/>
      <c r="O11" s="298"/>
      <c r="P11" s="298"/>
      <c r="Q11" s="5"/>
      <c r="S11" s="42"/>
      <c r="T11" s="40"/>
      <c r="U11" s="40"/>
      <c r="V11" s="54"/>
      <c r="W11" s="1">
        <f t="shared" si="0"/>
        <v>0</v>
      </c>
      <c r="X11" s="56"/>
      <c r="Y11" s="56"/>
      <c r="Z11" s="57"/>
      <c r="AA11" s="57"/>
    </row>
    <row r="12" spans="1:27" ht="14.25" x14ac:dyDescent="0.2">
      <c r="A12" s="1"/>
      <c r="B12" s="6" t="s">
        <v>2</v>
      </c>
      <c r="C12" s="6" t="s">
        <v>3</v>
      </c>
      <c r="D12" s="6" t="s">
        <v>4</v>
      </c>
      <c r="E12" s="6" t="s">
        <v>5</v>
      </c>
      <c r="F12" s="6" t="s">
        <v>4</v>
      </c>
      <c r="G12" s="6" t="s">
        <v>6</v>
      </c>
      <c r="H12" s="6" t="s">
        <v>2</v>
      </c>
      <c r="I12" s="4"/>
      <c r="J12" s="24" t="s">
        <v>2</v>
      </c>
      <c r="K12" s="25" t="s">
        <v>3</v>
      </c>
      <c r="L12" s="25" t="s">
        <v>4</v>
      </c>
      <c r="M12" s="25" t="s">
        <v>5</v>
      </c>
      <c r="N12" s="25" t="s">
        <v>4</v>
      </c>
      <c r="O12" s="25" t="s">
        <v>6</v>
      </c>
      <c r="P12" s="26" t="s">
        <v>2</v>
      </c>
      <c r="Q12" s="5"/>
      <c r="S12" s="43"/>
      <c r="T12" s="40" t="s">
        <v>21</v>
      </c>
      <c r="V12" s="1"/>
      <c r="W12" s="1">
        <f t="shared" si="0"/>
        <v>0</v>
      </c>
      <c r="X12" s="58">
        <f ca="1">CountCellsByColor(B1:R59,S12)</f>
        <v>0</v>
      </c>
      <c r="Y12" s="58"/>
      <c r="Z12" s="55"/>
      <c r="AA12" s="55">
        <f ca="1">X12-W12</f>
        <v>0</v>
      </c>
    </row>
    <row r="13" spans="1:27" ht="14.25" x14ac:dyDescent="0.2">
      <c r="A13" s="1"/>
      <c r="B13" s="9">
        <v>1</v>
      </c>
      <c r="C13" s="11">
        <v>2</v>
      </c>
      <c r="D13" s="11">
        <v>3</v>
      </c>
      <c r="E13" s="11">
        <v>4</v>
      </c>
      <c r="F13" s="11">
        <v>5</v>
      </c>
      <c r="G13" s="11">
        <v>6</v>
      </c>
      <c r="H13" s="11">
        <v>7</v>
      </c>
      <c r="I13" s="4"/>
      <c r="J13" s="293"/>
      <c r="K13" s="294"/>
      <c r="L13" s="295"/>
      <c r="M13" s="11">
        <v>1</v>
      </c>
      <c r="N13" s="11">
        <v>2</v>
      </c>
      <c r="O13" s="11">
        <v>3</v>
      </c>
      <c r="P13" s="11">
        <v>4</v>
      </c>
      <c r="Q13" s="5"/>
      <c r="S13" s="44"/>
      <c r="T13" s="40" t="s">
        <v>22</v>
      </c>
      <c r="V13" s="1"/>
      <c r="W13" s="1">
        <f t="shared" si="0"/>
        <v>0</v>
      </c>
      <c r="X13" s="58">
        <f ca="1">CountCellsByColor(B1:R60,S13)</f>
        <v>0</v>
      </c>
      <c r="Y13" s="58"/>
      <c r="Z13" s="55"/>
      <c r="AA13" s="55">
        <f ca="1">X13-W13</f>
        <v>0</v>
      </c>
    </row>
    <row r="14" spans="1:27" x14ac:dyDescent="0.2">
      <c r="A14" s="1"/>
      <c r="B14" s="9">
        <v>8</v>
      </c>
      <c r="C14" s="11">
        <v>9</v>
      </c>
      <c r="D14" s="11">
        <v>10</v>
      </c>
      <c r="E14" s="11">
        <v>11</v>
      </c>
      <c r="F14" s="11">
        <v>12</v>
      </c>
      <c r="G14" s="11">
        <v>13</v>
      </c>
      <c r="H14" s="9">
        <v>14</v>
      </c>
      <c r="I14" s="4"/>
      <c r="J14" s="9">
        <v>5</v>
      </c>
      <c r="K14" s="11">
        <v>6</v>
      </c>
      <c r="L14" s="11">
        <v>7</v>
      </c>
      <c r="M14" s="11">
        <v>8</v>
      </c>
      <c r="N14" s="11">
        <v>9</v>
      </c>
      <c r="O14" s="11">
        <v>10</v>
      </c>
      <c r="P14" s="9">
        <v>11</v>
      </c>
      <c r="Q14" s="5"/>
      <c r="X14" s="17"/>
      <c r="Y14" s="17"/>
      <c r="Z14" s="17"/>
      <c r="AA14" s="17"/>
    </row>
    <row r="15" spans="1:27" x14ac:dyDescent="0.2">
      <c r="A15" s="1"/>
      <c r="B15" s="9">
        <v>15</v>
      </c>
      <c r="C15" s="11">
        <v>16</v>
      </c>
      <c r="D15" s="11">
        <v>17</v>
      </c>
      <c r="E15" s="11">
        <v>18</v>
      </c>
      <c r="F15" s="11">
        <v>19</v>
      </c>
      <c r="G15" s="11">
        <v>20</v>
      </c>
      <c r="H15" s="9">
        <v>21</v>
      </c>
      <c r="I15" s="4"/>
      <c r="J15" s="9">
        <v>12</v>
      </c>
      <c r="K15" s="11">
        <v>13</v>
      </c>
      <c r="L15" s="11">
        <v>14</v>
      </c>
      <c r="M15" s="11">
        <v>15</v>
      </c>
      <c r="N15" s="11">
        <v>16</v>
      </c>
      <c r="O15" s="11">
        <v>17</v>
      </c>
      <c r="P15" s="9">
        <v>18</v>
      </c>
      <c r="Q15" s="5"/>
      <c r="S15" s="302"/>
    </row>
    <row r="16" spans="1:27" ht="14.25" x14ac:dyDescent="0.2">
      <c r="A16" s="1"/>
      <c r="B16" s="9">
        <v>22</v>
      </c>
      <c r="C16" s="11">
        <v>23</v>
      </c>
      <c r="D16" s="11">
        <v>24</v>
      </c>
      <c r="E16" s="11">
        <v>25</v>
      </c>
      <c r="F16" s="11">
        <v>26</v>
      </c>
      <c r="G16" s="11">
        <v>27</v>
      </c>
      <c r="H16" s="9">
        <v>28</v>
      </c>
      <c r="I16" s="4"/>
      <c r="J16" s="9">
        <v>19</v>
      </c>
      <c r="K16" s="11">
        <v>20</v>
      </c>
      <c r="L16" s="11">
        <v>21</v>
      </c>
      <c r="M16" s="11">
        <v>22</v>
      </c>
      <c r="N16" s="11">
        <v>23</v>
      </c>
      <c r="O16" s="11">
        <v>24</v>
      </c>
      <c r="P16" s="9">
        <v>25</v>
      </c>
      <c r="Q16" s="5"/>
      <c r="S16" s="303"/>
      <c r="T16" s="40" t="s">
        <v>23</v>
      </c>
    </row>
    <row r="17" spans="1:22" x14ac:dyDescent="0.2">
      <c r="A17" s="1"/>
      <c r="B17" s="9">
        <v>29</v>
      </c>
      <c r="C17" s="11">
        <v>30</v>
      </c>
      <c r="D17" s="27">
        <v>31</v>
      </c>
      <c r="E17" s="293"/>
      <c r="F17" s="294"/>
      <c r="G17" s="294"/>
      <c r="H17" s="295"/>
      <c r="I17" s="4"/>
      <c r="J17" s="9">
        <v>26</v>
      </c>
      <c r="K17" s="11">
        <v>27</v>
      </c>
      <c r="L17" s="12">
        <v>28</v>
      </c>
      <c r="M17" s="12">
        <v>29</v>
      </c>
      <c r="N17" s="12">
        <v>30</v>
      </c>
      <c r="O17" s="304"/>
      <c r="P17" s="305"/>
      <c r="Q17" s="5"/>
    </row>
    <row r="18" spans="1:22" ht="6" customHeight="1" x14ac:dyDescent="0.2">
      <c r="A18" s="1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</row>
    <row r="19" spans="1:22" x14ac:dyDescent="0.2">
      <c r="A19" s="1"/>
      <c r="B19" s="290" t="s">
        <v>9</v>
      </c>
      <c r="C19" s="290"/>
      <c r="D19" s="290"/>
      <c r="E19" s="290"/>
      <c r="F19" s="290"/>
      <c r="G19" s="290"/>
      <c r="H19" s="290"/>
      <c r="I19" s="4"/>
      <c r="J19" s="290" t="s">
        <v>10</v>
      </c>
      <c r="K19" s="290"/>
      <c r="L19" s="290"/>
      <c r="M19" s="290"/>
      <c r="N19" s="290"/>
      <c r="O19" s="290"/>
      <c r="P19" s="290"/>
      <c r="Q19" s="5"/>
    </row>
    <row r="20" spans="1:22" ht="15.75" x14ac:dyDescent="0.25">
      <c r="A20" s="1"/>
      <c r="B20" s="6" t="s">
        <v>2</v>
      </c>
      <c r="C20" s="6" t="s">
        <v>3</v>
      </c>
      <c r="D20" s="6" t="s">
        <v>4</v>
      </c>
      <c r="E20" s="6" t="s">
        <v>5</v>
      </c>
      <c r="F20" s="6" t="s">
        <v>4</v>
      </c>
      <c r="G20" s="6" t="s">
        <v>6</v>
      </c>
      <c r="H20" s="6" t="s">
        <v>2</v>
      </c>
      <c r="I20" s="4"/>
      <c r="J20" s="6" t="s">
        <v>2</v>
      </c>
      <c r="K20" s="6" t="s">
        <v>3</v>
      </c>
      <c r="L20" s="6" t="s">
        <v>4</v>
      </c>
      <c r="M20" s="6" t="s">
        <v>5</v>
      </c>
      <c r="N20" s="6" t="s">
        <v>4</v>
      </c>
      <c r="O20" s="6" t="s">
        <v>6</v>
      </c>
      <c r="P20" s="6" t="s">
        <v>2</v>
      </c>
      <c r="Q20" s="5"/>
      <c r="S20" s="124" t="s">
        <v>74</v>
      </c>
    </row>
    <row r="21" spans="1:22" x14ac:dyDescent="0.2">
      <c r="A21" s="1"/>
      <c r="B21" s="299"/>
      <c r="C21" s="292"/>
      <c r="D21" s="292"/>
      <c r="E21" s="292"/>
      <c r="F21" s="292"/>
      <c r="G21" s="11">
        <v>1</v>
      </c>
      <c r="H21" s="11">
        <v>2</v>
      </c>
      <c r="I21" s="4"/>
      <c r="J21" s="28"/>
      <c r="K21" s="11">
        <v>1</v>
      </c>
      <c r="L21" s="11">
        <v>2</v>
      </c>
      <c r="M21" s="11">
        <v>3</v>
      </c>
      <c r="N21" s="11">
        <v>4</v>
      </c>
      <c r="O21" s="8">
        <v>5</v>
      </c>
      <c r="P21" s="9">
        <v>6</v>
      </c>
      <c r="Q21" s="5"/>
    </row>
    <row r="22" spans="1:22" x14ac:dyDescent="0.2">
      <c r="A22" s="1"/>
      <c r="B22" s="9">
        <v>3</v>
      </c>
      <c r="C22" s="11">
        <v>4</v>
      </c>
      <c r="D22" s="11">
        <v>5</v>
      </c>
      <c r="E22" s="11">
        <v>6</v>
      </c>
      <c r="F22" s="11">
        <v>7</v>
      </c>
      <c r="G22" s="11">
        <v>8</v>
      </c>
      <c r="H22" s="9">
        <v>9</v>
      </c>
      <c r="I22" s="4"/>
      <c r="J22" s="9">
        <v>7</v>
      </c>
      <c r="K22" s="11">
        <v>8</v>
      </c>
      <c r="L22" s="11">
        <v>9</v>
      </c>
      <c r="M22" s="11">
        <v>10</v>
      </c>
      <c r="N22" s="11">
        <v>11</v>
      </c>
      <c r="O22" s="11">
        <v>12</v>
      </c>
      <c r="P22" s="9">
        <v>13</v>
      </c>
      <c r="Q22" s="5"/>
      <c r="R22" s="2">
        <v>1</v>
      </c>
      <c r="S22" s="2" t="s">
        <v>75</v>
      </c>
      <c r="U22" s="125" t="s">
        <v>96</v>
      </c>
      <c r="V22" s="125"/>
    </row>
    <row r="23" spans="1:22" x14ac:dyDescent="0.2">
      <c r="A23" s="1"/>
      <c r="B23" s="9">
        <v>10</v>
      </c>
      <c r="C23" s="11">
        <v>11</v>
      </c>
      <c r="D23" s="11">
        <v>12</v>
      </c>
      <c r="E23" s="11">
        <v>13</v>
      </c>
      <c r="F23" s="11">
        <v>14</v>
      </c>
      <c r="G23" s="11">
        <v>15</v>
      </c>
      <c r="H23" s="9">
        <v>16</v>
      </c>
      <c r="I23" s="4"/>
      <c r="J23" s="9">
        <v>14</v>
      </c>
      <c r="K23" s="11">
        <v>15</v>
      </c>
      <c r="L23" s="11">
        <v>16</v>
      </c>
      <c r="M23" s="11">
        <v>17</v>
      </c>
      <c r="N23" s="11">
        <v>18</v>
      </c>
      <c r="O23" s="11">
        <v>19</v>
      </c>
      <c r="P23" s="9">
        <v>20</v>
      </c>
      <c r="Q23" s="5"/>
      <c r="R23" s="2">
        <v>2</v>
      </c>
      <c r="S23" s="2" t="s">
        <v>76</v>
      </c>
      <c r="U23" s="2" t="s">
        <v>77</v>
      </c>
    </row>
    <row r="24" spans="1:22" x14ac:dyDescent="0.2">
      <c r="A24" s="1"/>
      <c r="B24" s="9">
        <v>17</v>
      </c>
      <c r="C24" s="11">
        <v>18</v>
      </c>
      <c r="D24" s="11">
        <v>19</v>
      </c>
      <c r="E24" s="11">
        <v>20</v>
      </c>
      <c r="F24" s="11">
        <v>21</v>
      </c>
      <c r="G24" s="11">
        <v>22</v>
      </c>
      <c r="H24" s="9">
        <v>23</v>
      </c>
      <c r="I24" s="4"/>
      <c r="J24" s="9">
        <v>21</v>
      </c>
      <c r="K24" s="11">
        <v>22</v>
      </c>
      <c r="L24" s="11">
        <v>23</v>
      </c>
      <c r="M24" s="11">
        <v>24</v>
      </c>
      <c r="N24" s="11">
        <v>25</v>
      </c>
      <c r="O24" s="11">
        <v>26</v>
      </c>
      <c r="P24" s="9">
        <v>27</v>
      </c>
      <c r="Q24" s="5"/>
      <c r="R24" s="2">
        <v>3</v>
      </c>
      <c r="S24" s="2" t="s">
        <v>78</v>
      </c>
      <c r="U24" s="126" t="s">
        <v>97</v>
      </c>
      <c r="V24" s="126"/>
    </row>
    <row r="25" spans="1:22" x14ac:dyDescent="0.2">
      <c r="A25" s="1"/>
      <c r="B25" s="9">
        <v>24</v>
      </c>
      <c r="C25" s="11">
        <v>25</v>
      </c>
      <c r="D25" s="12">
        <v>26</v>
      </c>
      <c r="E25" s="12">
        <v>27</v>
      </c>
      <c r="F25" s="12">
        <v>28</v>
      </c>
      <c r="G25" s="12">
        <v>29</v>
      </c>
      <c r="H25" s="12">
        <v>30</v>
      </c>
      <c r="I25" s="4"/>
      <c r="J25" s="9">
        <v>28</v>
      </c>
      <c r="K25" s="11">
        <v>29</v>
      </c>
      <c r="L25" s="11">
        <v>30</v>
      </c>
      <c r="M25" s="293"/>
      <c r="N25" s="294"/>
      <c r="O25" s="294"/>
      <c r="P25" s="295"/>
      <c r="Q25" s="5"/>
      <c r="R25" s="2">
        <v>4</v>
      </c>
      <c r="S25" s="2" t="s">
        <v>79</v>
      </c>
      <c r="U25" s="127" t="s">
        <v>80</v>
      </c>
      <c r="V25" s="127"/>
    </row>
    <row r="26" spans="1:22" x14ac:dyDescent="0.2">
      <c r="A26" s="1"/>
      <c r="B26" s="9">
        <v>31</v>
      </c>
      <c r="C26" s="299"/>
      <c r="D26" s="292"/>
      <c r="E26" s="292"/>
      <c r="F26" s="292"/>
      <c r="G26" s="292"/>
      <c r="H26" s="292"/>
      <c r="I26" s="4"/>
      <c r="J26" s="29"/>
      <c r="K26" s="29"/>
      <c r="L26" s="29"/>
      <c r="M26" s="29"/>
      <c r="N26" s="29"/>
      <c r="O26" s="29"/>
      <c r="P26" s="29"/>
      <c r="Q26" s="5"/>
      <c r="R26" s="2">
        <v>5</v>
      </c>
      <c r="S26" s="2" t="s">
        <v>81</v>
      </c>
      <c r="U26" s="2" t="s">
        <v>98</v>
      </c>
    </row>
    <row r="27" spans="1:22" ht="11.25" customHeight="1" x14ac:dyDescent="0.2">
      <c r="A27" s="1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R27" s="2">
        <v>6</v>
      </c>
      <c r="S27" s="2" t="s">
        <v>82</v>
      </c>
      <c r="U27" s="2" t="s">
        <v>83</v>
      </c>
    </row>
    <row r="28" spans="1:22" x14ac:dyDescent="0.2">
      <c r="A28" s="1"/>
      <c r="B28" s="290" t="s">
        <v>11</v>
      </c>
      <c r="C28" s="290"/>
      <c r="D28" s="290"/>
      <c r="E28" s="290"/>
      <c r="F28" s="290"/>
      <c r="G28" s="290"/>
      <c r="H28" s="290"/>
      <c r="I28" s="4"/>
      <c r="J28" s="290" t="s">
        <v>12</v>
      </c>
      <c r="K28" s="290"/>
      <c r="L28" s="290"/>
      <c r="M28" s="290"/>
      <c r="N28" s="290"/>
      <c r="O28" s="290"/>
      <c r="P28" s="290"/>
      <c r="Q28" s="5"/>
      <c r="R28" s="2">
        <v>7</v>
      </c>
      <c r="S28" s="2" t="s">
        <v>84</v>
      </c>
      <c r="U28" s="2" t="s">
        <v>85</v>
      </c>
    </row>
    <row r="29" spans="1:22" x14ac:dyDescent="0.2">
      <c r="A29" s="1"/>
      <c r="B29" s="6" t="s">
        <v>2</v>
      </c>
      <c r="C29" s="6" t="s">
        <v>3</v>
      </c>
      <c r="D29" s="6" t="s">
        <v>4</v>
      </c>
      <c r="E29" s="6" t="s">
        <v>5</v>
      </c>
      <c r="F29" s="6" t="s">
        <v>4</v>
      </c>
      <c r="G29" s="6" t="s">
        <v>6</v>
      </c>
      <c r="H29" s="6" t="s">
        <v>2</v>
      </c>
      <c r="I29" s="4"/>
      <c r="J29" s="6" t="s">
        <v>2</v>
      </c>
      <c r="K29" s="6" t="s">
        <v>3</v>
      </c>
      <c r="L29" s="6" t="s">
        <v>4</v>
      </c>
      <c r="M29" s="6" t="s">
        <v>5</v>
      </c>
      <c r="N29" s="6" t="s">
        <v>4</v>
      </c>
      <c r="O29" s="6" t="s">
        <v>6</v>
      </c>
      <c r="P29" s="6" t="s">
        <v>2</v>
      </c>
      <c r="Q29" s="5"/>
      <c r="R29" s="2">
        <v>8</v>
      </c>
      <c r="S29" s="2" t="s">
        <v>86</v>
      </c>
      <c r="U29" s="2" t="s">
        <v>99</v>
      </c>
    </row>
    <row r="30" spans="1:22" x14ac:dyDescent="0.2">
      <c r="A30" s="1"/>
      <c r="B30" s="299"/>
      <c r="C30" s="292"/>
      <c r="D30" s="292"/>
      <c r="E30" s="11">
        <v>1</v>
      </c>
      <c r="F30" s="11">
        <v>2</v>
      </c>
      <c r="G30" s="11">
        <v>3</v>
      </c>
      <c r="H30" s="11">
        <v>4</v>
      </c>
      <c r="I30" s="4"/>
      <c r="J30" s="10"/>
      <c r="K30" s="10"/>
      <c r="L30" s="10"/>
      <c r="M30" s="10"/>
      <c r="N30" s="10"/>
      <c r="O30" s="30"/>
      <c r="P30" s="47">
        <v>1</v>
      </c>
      <c r="Q30" s="5"/>
      <c r="R30" s="2">
        <v>9</v>
      </c>
      <c r="S30" s="2" t="s">
        <v>87</v>
      </c>
      <c r="U30" s="2" t="s">
        <v>88</v>
      </c>
    </row>
    <row r="31" spans="1:22" x14ac:dyDescent="0.2">
      <c r="A31" s="1"/>
      <c r="B31" s="9">
        <v>5</v>
      </c>
      <c r="C31" s="11">
        <v>6</v>
      </c>
      <c r="D31" s="11">
        <v>7</v>
      </c>
      <c r="E31" s="11">
        <v>8</v>
      </c>
      <c r="F31" s="11">
        <v>9</v>
      </c>
      <c r="G31" s="11">
        <v>10</v>
      </c>
      <c r="H31" s="9">
        <v>11</v>
      </c>
      <c r="I31" s="4"/>
      <c r="J31" s="47">
        <v>2</v>
      </c>
      <c r="K31" s="46">
        <v>3</v>
      </c>
      <c r="L31" s="46">
        <v>4</v>
      </c>
      <c r="M31" s="46">
        <v>5</v>
      </c>
      <c r="N31" s="46">
        <v>6</v>
      </c>
      <c r="O31" s="46">
        <v>7</v>
      </c>
      <c r="P31" s="47">
        <v>8</v>
      </c>
      <c r="Q31" s="5"/>
      <c r="R31" s="2">
        <v>10</v>
      </c>
      <c r="S31" s="2" t="s">
        <v>100</v>
      </c>
    </row>
    <row r="32" spans="1:22" x14ac:dyDescent="0.2">
      <c r="A32" s="1"/>
      <c r="B32" s="9">
        <v>12</v>
      </c>
      <c r="C32" s="11">
        <v>13</v>
      </c>
      <c r="D32" s="11">
        <v>14</v>
      </c>
      <c r="E32" s="11">
        <v>15</v>
      </c>
      <c r="F32" s="11">
        <v>16</v>
      </c>
      <c r="G32" s="11">
        <v>17</v>
      </c>
      <c r="H32" s="9">
        <v>18</v>
      </c>
      <c r="I32" s="4"/>
      <c r="J32" s="47">
        <v>9</v>
      </c>
      <c r="K32" s="46">
        <v>10</v>
      </c>
      <c r="L32" s="46">
        <v>11</v>
      </c>
      <c r="M32" s="46">
        <v>12</v>
      </c>
      <c r="N32" s="46">
        <v>13</v>
      </c>
      <c r="O32" s="46">
        <v>14</v>
      </c>
      <c r="P32" s="47">
        <v>15</v>
      </c>
      <c r="Q32" s="5"/>
      <c r="R32" s="2">
        <v>11</v>
      </c>
      <c r="S32" s="2" t="s">
        <v>89</v>
      </c>
      <c r="U32" s="51" t="s">
        <v>101</v>
      </c>
    </row>
    <row r="33" spans="1:22" x14ac:dyDescent="0.2">
      <c r="A33" s="1"/>
      <c r="B33" s="9">
        <v>19</v>
      </c>
      <c r="C33" s="11">
        <v>20</v>
      </c>
      <c r="D33" s="123">
        <v>21</v>
      </c>
      <c r="E33" s="123">
        <v>22</v>
      </c>
      <c r="F33" s="32">
        <v>23</v>
      </c>
      <c r="G33" s="32">
        <v>24</v>
      </c>
      <c r="H33" s="32">
        <v>25</v>
      </c>
      <c r="I33" s="4"/>
      <c r="J33" s="47">
        <v>16</v>
      </c>
      <c r="K33" s="46">
        <v>17</v>
      </c>
      <c r="L33" s="46">
        <v>18</v>
      </c>
      <c r="M33" s="46">
        <v>19</v>
      </c>
      <c r="N33" s="46">
        <v>20</v>
      </c>
      <c r="O33" s="46">
        <v>21</v>
      </c>
      <c r="P33" s="47">
        <v>22</v>
      </c>
      <c r="Q33" s="5"/>
      <c r="R33" s="2">
        <v>12</v>
      </c>
      <c r="S33" s="2" t="s">
        <v>90</v>
      </c>
      <c r="T33" s="1"/>
      <c r="U33" s="128" t="s">
        <v>102</v>
      </c>
      <c r="V33" s="5"/>
    </row>
    <row r="34" spans="1:22" x14ac:dyDescent="0.2">
      <c r="A34" s="1"/>
      <c r="B34" s="47">
        <v>26</v>
      </c>
      <c r="C34" s="46">
        <v>27</v>
      </c>
      <c r="D34" s="48">
        <v>28</v>
      </c>
      <c r="E34" s="48">
        <v>29</v>
      </c>
      <c r="F34" s="48">
        <v>30</v>
      </c>
      <c r="G34" s="48">
        <v>31</v>
      </c>
      <c r="H34" s="10"/>
      <c r="I34" s="4"/>
      <c r="J34" s="47">
        <v>23</v>
      </c>
      <c r="K34" s="11">
        <v>24</v>
      </c>
      <c r="L34" s="11">
        <v>25</v>
      </c>
      <c r="M34" s="11">
        <v>26</v>
      </c>
      <c r="N34" s="11">
        <v>27</v>
      </c>
      <c r="O34" s="11">
        <v>28</v>
      </c>
      <c r="P34" s="9">
        <v>29</v>
      </c>
      <c r="Q34" s="5"/>
      <c r="R34" s="2">
        <v>13</v>
      </c>
      <c r="S34" s="2" t="s">
        <v>91</v>
      </c>
      <c r="T34" s="129"/>
      <c r="U34" s="130" t="s">
        <v>103</v>
      </c>
    </row>
    <row r="35" spans="1:22" x14ac:dyDescent="0.2">
      <c r="A35" s="1"/>
      <c r="B35" s="16"/>
      <c r="C35" s="14"/>
      <c r="D35" s="14"/>
      <c r="E35" s="14"/>
      <c r="F35" s="14"/>
      <c r="G35" s="14"/>
      <c r="H35" s="16"/>
      <c r="I35" s="4"/>
      <c r="J35" s="9">
        <v>30</v>
      </c>
      <c r="K35" s="27">
        <v>31</v>
      </c>
      <c r="L35" s="299"/>
      <c r="M35" s="292"/>
      <c r="N35" s="292"/>
      <c r="O35" s="292"/>
      <c r="P35" s="292"/>
      <c r="Q35" s="5"/>
      <c r="R35" s="2">
        <v>14</v>
      </c>
      <c r="S35" s="2" t="s">
        <v>92</v>
      </c>
      <c r="T35" s="1"/>
      <c r="U35" s="131">
        <v>92675480</v>
      </c>
      <c r="V35" s="5"/>
    </row>
    <row r="36" spans="1:22" ht="12.75" customHeight="1" x14ac:dyDescent="0.2">
      <c r="A36" s="1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R36" s="2">
        <v>15</v>
      </c>
      <c r="S36" s="2" t="s">
        <v>93</v>
      </c>
      <c r="T36" s="129"/>
      <c r="U36" s="17" t="s">
        <v>104</v>
      </c>
      <c r="V36" s="127"/>
    </row>
    <row r="37" spans="1:22" x14ac:dyDescent="0.2">
      <c r="A37" s="1"/>
      <c r="B37" s="290" t="s">
        <v>13</v>
      </c>
      <c r="C37" s="290"/>
      <c r="D37" s="290"/>
      <c r="E37" s="290"/>
      <c r="F37" s="290"/>
      <c r="G37" s="290"/>
      <c r="H37" s="290"/>
      <c r="I37" s="4"/>
      <c r="J37" s="290" t="s">
        <v>14</v>
      </c>
      <c r="K37" s="290"/>
      <c r="L37" s="290"/>
      <c r="M37" s="290"/>
      <c r="N37" s="290"/>
      <c r="O37" s="290"/>
      <c r="P37" s="290"/>
      <c r="Q37" s="5"/>
      <c r="R37" s="2">
        <v>16</v>
      </c>
      <c r="S37" s="2" t="s">
        <v>94</v>
      </c>
      <c r="T37" s="129"/>
      <c r="U37" s="127" t="s">
        <v>95</v>
      </c>
    </row>
    <row r="38" spans="1:22" x14ac:dyDescent="0.2">
      <c r="A38" s="1"/>
      <c r="B38" s="6" t="s">
        <v>2</v>
      </c>
      <c r="C38" s="6" t="s">
        <v>3</v>
      </c>
      <c r="D38" s="6" t="s">
        <v>4</v>
      </c>
      <c r="E38" s="6" t="s">
        <v>5</v>
      </c>
      <c r="F38" s="6" t="s">
        <v>4</v>
      </c>
      <c r="G38" s="6" t="s">
        <v>6</v>
      </c>
      <c r="H38" s="6" t="s">
        <v>2</v>
      </c>
      <c r="I38" s="4"/>
      <c r="J38" s="6" t="s">
        <v>2</v>
      </c>
      <c r="K38" s="6" t="s">
        <v>3</v>
      </c>
      <c r="L38" s="6" t="s">
        <v>4</v>
      </c>
      <c r="M38" s="6" t="s">
        <v>5</v>
      </c>
      <c r="N38" s="6" t="s">
        <v>4</v>
      </c>
      <c r="O38" s="6" t="s">
        <v>6</v>
      </c>
      <c r="P38" s="6" t="s">
        <v>2</v>
      </c>
      <c r="Q38" s="5"/>
      <c r="R38" s="2">
        <v>17</v>
      </c>
      <c r="S38" s="2" t="s">
        <v>105</v>
      </c>
      <c r="U38" s="2" t="s">
        <v>106</v>
      </c>
    </row>
    <row r="39" spans="1:22" x14ac:dyDescent="0.2">
      <c r="A39" s="1"/>
      <c r="B39" s="299"/>
      <c r="C39" s="292"/>
      <c r="D39" s="11">
        <v>1</v>
      </c>
      <c r="E39" s="11">
        <v>2</v>
      </c>
      <c r="F39" s="11">
        <v>3</v>
      </c>
      <c r="G39" s="8">
        <v>4</v>
      </c>
      <c r="H39" s="9">
        <v>5</v>
      </c>
      <c r="I39" s="4"/>
      <c r="J39" s="299"/>
      <c r="K39" s="299"/>
      <c r="L39" s="299"/>
      <c r="M39" s="299"/>
      <c r="N39" s="11">
        <v>1</v>
      </c>
      <c r="O39" s="11">
        <v>2</v>
      </c>
      <c r="P39" s="9">
        <v>3</v>
      </c>
      <c r="Q39" s="5"/>
      <c r="R39" s="2">
        <v>18</v>
      </c>
      <c r="S39" s="2" t="s">
        <v>107</v>
      </c>
    </row>
    <row r="40" spans="1:22" x14ac:dyDescent="0.2">
      <c r="A40" s="1"/>
      <c r="B40" s="9">
        <v>6</v>
      </c>
      <c r="C40" s="11">
        <v>7</v>
      </c>
      <c r="D40" s="11">
        <v>8</v>
      </c>
      <c r="E40" s="11">
        <v>9</v>
      </c>
      <c r="F40" s="11">
        <v>10</v>
      </c>
      <c r="G40" s="11">
        <v>11</v>
      </c>
      <c r="H40" s="9">
        <v>12</v>
      </c>
      <c r="I40" s="4"/>
      <c r="J40" s="9">
        <v>4</v>
      </c>
      <c r="K40" s="11">
        <v>5</v>
      </c>
      <c r="L40" s="11">
        <v>6</v>
      </c>
      <c r="M40" s="11">
        <v>7</v>
      </c>
      <c r="N40" s="11">
        <v>8</v>
      </c>
      <c r="O40" s="11">
        <v>9</v>
      </c>
      <c r="P40" s="9">
        <v>10</v>
      </c>
      <c r="Q40" s="5"/>
      <c r="R40" s="2">
        <v>19</v>
      </c>
      <c r="S40" s="2" t="s">
        <v>108</v>
      </c>
      <c r="U40" s="133" t="s">
        <v>109</v>
      </c>
    </row>
    <row r="41" spans="1:22" x14ac:dyDescent="0.2">
      <c r="A41" s="1"/>
      <c r="B41" s="9">
        <v>13</v>
      </c>
      <c r="C41" s="11">
        <v>14</v>
      </c>
      <c r="D41" s="11">
        <v>15</v>
      </c>
      <c r="E41" s="11">
        <v>16</v>
      </c>
      <c r="F41" s="11">
        <v>17</v>
      </c>
      <c r="G41" s="11">
        <v>18</v>
      </c>
      <c r="H41" s="9">
        <v>19</v>
      </c>
      <c r="I41" s="4"/>
      <c r="J41" s="9">
        <v>11</v>
      </c>
      <c r="K41" s="11">
        <v>12</v>
      </c>
      <c r="L41" s="11">
        <v>13</v>
      </c>
      <c r="M41" s="11">
        <v>14</v>
      </c>
      <c r="N41" s="11">
        <v>15</v>
      </c>
      <c r="O41" s="11">
        <v>16</v>
      </c>
      <c r="P41" s="9">
        <v>17</v>
      </c>
      <c r="Q41" s="5"/>
    </row>
    <row r="42" spans="1:22" x14ac:dyDescent="0.2">
      <c r="A42" s="1"/>
      <c r="B42" s="9">
        <v>20</v>
      </c>
      <c r="C42" s="11">
        <v>21</v>
      </c>
      <c r="D42" s="11">
        <v>22</v>
      </c>
      <c r="E42" s="11">
        <v>23</v>
      </c>
      <c r="F42" s="11">
        <v>24</v>
      </c>
      <c r="G42" s="11">
        <v>25</v>
      </c>
      <c r="H42" s="9">
        <v>26</v>
      </c>
      <c r="I42" s="4"/>
      <c r="J42" s="9">
        <v>18</v>
      </c>
      <c r="K42" s="11">
        <v>19</v>
      </c>
      <c r="L42" s="11">
        <v>20</v>
      </c>
      <c r="M42" s="11">
        <v>21</v>
      </c>
      <c r="N42" s="11">
        <v>22</v>
      </c>
      <c r="O42" s="11">
        <v>23</v>
      </c>
      <c r="P42" s="9">
        <v>24</v>
      </c>
      <c r="Q42" s="5"/>
    </row>
    <row r="43" spans="1:22" x14ac:dyDescent="0.2">
      <c r="A43" s="1"/>
      <c r="B43" s="11">
        <v>27</v>
      </c>
      <c r="C43" s="11">
        <v>28</v>
      </c>
      <c r="D43" s="11">
        <v>29</v>
      </c>
      <c r="E43" s="11">
        <v>30</v>
      </c>
      <c r="F43" s="299"/>
      <c r="G43" s="292"/>
      <c r="H43" s="292"/>
      <c r="I43" s="4"/>
      <c r="J43" s="11">
        <v>25</v>
      </c>
      <c r="K43" s="11">
        <v>26</v>
      </c>
      <c r="L43" s="11">
        <v>27</v>
      </c>
      <c r="M43" s="11">
        <v>28</v>
      </c>
      <c r="N43" s="11">
        <v>29</v>
      </c>
      <c r="O43" s="11">
        <v>30</v>
      </c>
      <c r="P43" s="9">
        <v>31</v>
      </c>
      <c r="Q43" s="5"/>
    </row>
    <row r="44" spans="1:22" ht="6" customHeight="1" x14ac:dyDescent="0.2">
      <c r="A44" s="1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</row>
    <row r="45" spans="1:22" x14ac:dyDescent="0.2">
      <c r="A45" s="1"/>
      <c r="B45" s="290" t="s">
        <v>15</v>
      </c>
      <c r="C45" s="290"/>
      <c r="D45" s="290"/>
      <c r="E45" s="290"/>
      <c r="F45" s="290"/>
      <c r="G45" s="290"/>
      <c r="H45" s="290"/>
      <c r="I45" s="4"/>
      <c r="J45" s="290" t="s">
        <v>16</v>
      </c>
      <c r="K45" s="290"/>
      <c r="L45" s="290"/>
      <c r="M45" s="290"/>
      <c r="N45" s="290"/>
      <c r="O45" s="290"/>
      <c r="P45" s="290"/>
      <c r="Q45" s="5"/>
    </row>
    <row r="46" spans="1:22" x14ac:dyDescent="0.2">
      <c r="A46" s="1"/>
      <c r="B46" s="6" t="s">
        <v>2</v>
      </c>
      <c r="C46" s="6" t="s">
        <v>3</v>
      </c>
      <c r="D46" s="6" t="s">
        <v>4</v>
      </c>
      <c r="E46" s="6" t="s">
        <v>5</v>
      </c>
      <c r="F46" s="6" t="s">
        <v>4</v>
      </c>
      <c r="G46" s="6" t="s">
        <v>6</v>
      </c>
      <c r="H46" s="6" t="s">
        <v>2</v>
      </c>
      <c r="I46" s="4"/>
      <c r="J46" s="6" t="s">
        <v>2</v>
      </c>
      <c r="K46" s="6" t="s">
        <v>3</v>
      </c>
      <c r="L46" s="6" t="s">
        <v>4</v>
      </c>
      <c r="M46" s="6" t="s">
        <v>5</v>
      </c>
      <c r="N46" s="6" t="s">
        <v>4</v>
      </c>
      <c r="O46" s="6" t="s">
        <v>6</v>
      </c>
      <c r="P46" s="6" t="s">
        <v>2</v>
      </c>
      <c r="Q46" s="5"/>
    </row>
    <row r="47" spans="1:22" x14ac:dyDescent="0.2">
      <c r="A47" s="1"/>
      <c r="B47" s="9">
        <v>1</v>
      </c>
      <c r="C47" s="11">
        <v>2</v>
      </c>
      <c r="D47" s="11">
        <v>3</v>
      </c>
      <c r="E47" s="11">
        <v>4</v>
      </c>
      <c r="F47" s="11">
        <v>5</v>
      </c>
      <c r="G47" s="11">
        <v>6</v>
      </c>
      <c r="H47" s="11">
        <v>7</v>
      </c>
      <c r="I47" s="4"/>
      <c r="J47" s="299"/>
      <c r="K47" s="292"/>
      <c r="L47" s="11">
        <v>1</v>
      </c>
      <c r="M47" s="11">
        <v>2</v>
      </c>
      <c r="N47" s="11">
        <v>3</v>
      </c>
      <c r="O47" s="8">
        <v>4</v>
      </c>
      <c r="P47" s="9">
        <v>5</v>
      </c>
      <c r="Q47" s="5"/>
    </row>
    <row r="48" spans="1:22" x14ac:dyDescent="0.2">
      <c r="A48" s="1"/>
      <c r="B48" s="9">
        <v>8</v>
      </c>
      <c r="C48" s="11">
        <v>9</v>
      </c>
      <c r="D48" s="11">
        <v>10</v>
      </c>
      <c r="E48" s="11">
        <v>11</v>
      </c>
      <c r="F48" s="11">
        <v>12</v>
      </c>
      <c r="G48" s="11">
        <v>13</v>
      </c>
      <c r="H48" s="9">
        <v>14</v>
      </c>
      <c r="I48" s="4"/>
      <c r="J48" s="9">
        <v>6</v>
      </c>
      <c r="K48" s="11">
        <v>7</v>
      </c>
      <c r="L48" s="11">
        <v>8</v>
      </c>
      <c r="M48" s="11">
        <v>9</v>
      </c>
      <c r="N48" s="11">
        <v>10</v>
      </c>
      <c r="O48" s="11">
        <v>11</v>
      </c>
      <c r="P48" s="9">
        <v>12</v>
      </c>
      <c r="Q48" s="5"/>
    </row>
    <row r="49" spans="1:17" x14ac:dyDescent="0.2">
      <c r="A49" s="1"/>
      <c r="B49" s="9">
        <v>15</v>
      </c>
      <c r="C49" s="11">
        <v>16</v>
      </c>
      <c r="D49" s="11">
        <v>17</v>
      </c>
      <c r="E49" s="11">
        <v>18</v>
      </c>
      <c r="F49" s="11">
        <v>19</v>
      </c>
      <c r="G49" s="11">
        <v>20</v>
      </c>
      <c r="H49" s="9">
        <v>21</v>
      </c>
      <c r="I49" s="4"/>
      <c r="J49" s="9">
        <v>13</v>
      </c>
      <c r="K49" s="11">
        <v>14</v>
      </c>
      <c r="L49" s="11">
        <v>15</v>
      </c>
      <c r="M49" s="11">
        <v>16</v>
      </c>
      <c r="N49" s="11">
        <v>17</v>
      </c>
      <c r="O49" s="11">
        <v>18</v>
      </c>
      <c r="P49" s="9">
        <v>19</v>
      </c>
      <c r="Q49" s="5"/>
    </row>
    <row r="50" spans="1:17" x14ac:dyDescent="0.2">
      <c r="A50" s="1"/>
      <c r="B50" s="9">
        <v>22</v>
      </c>
      <c r="C50" s="11">
        <v>23</v>
      </c>
      <c r="D50" s="11">
        <v>24</v>
      </c>
      <c r="E50" s="11">
        <v>25</v>
      </c>
      <c r="F50" s="11">
        <v>26</v>
      </c>
      <c r="G50" s="11">
        <v>27</v>
      </c>
      <c r="H50" s="9">
        <v>28</v>
      </c>
      <c r="I50" s="4"/>
      <c r="J50" s="9">
        <v>20</v>
      </c>
      <c r="K50" s="11">
        <v>21</v>
      </c>
      <c r="L50" s="11">
        <v>22</v>
      </c>
      <c r="M50" s="11">
        <v>23</v>
      </c>
      <c r="N50" s="11">
        <v>24</v>
      </c>
      <c r="O50" s="11">
        <v>25</v>
      </c>
      <c r="P50" s="9">
        <v>26</v>
      </c>
      <c r="Q50" s="5"/>
    </row>
    <row r="51" spans="1:17" x14ac:dyDescent="0.2">
      <c r="A51" s="1"/>
      <c r="B51" s="9">
        <v>29</v>
      </c>
      <c r="C51" s="11">
        <v>30</v>
      </c>
      <c r="D51" s="299"/>
      <c r="E51" s="292"/>
      <c r="F51" s="292"/>
      <c r="G51" s="292"/>
      <c r="H51" s="292"/>
      <c r="I51" s="4"/>
      <c r="J51" s="11">
        <v>27</v>
      </c>
      <c r="K51" s="11">
        <v>28</v>
      </c>
      <c r="L51" s="11">
        <v>29</v>
      </c>
      <c r="M51" s="11">
        <v>30</v>
      </c>
      <c r="N51" s="27">
        <v>31</v>
      </c>
      <c r="O51" s="292"/>
      <c r="P51" s="292"/>
      <c r="Q51" s="5"/>
    </row>
    <row r="52" spans="1:17" x14ac:dyDescent="0.2">
      <c r="A52" s="1"/>
      <c r="B52" s="31"/>
      <c r="C52" s="31"/>
      <c r="D52" s="31"/>
      <c r="E52" s="31"/>
      <c r="F52" s="31"/>
      <c r="G52" s="31"/>
      <c r="H52" s="31"/>
      <c r="I52" s="23"/>
      <c r="J52" s="20"/>
      <c r="K52" s="20"/>
      <c r="L52" s="20"/>
      <c r="M52" s="20"/>
      <c r="N52" s="20"/>
      <c r="O52" s="20"/>
      <c r="P52" s="20"/>
      <c r="Q52" s="5"/>
    </row>
    <row r="53" spans="1:17" x14ac:dyDescent="0.2">
      <c r="B53" s="17"/>
      <c r="C53" s="17"/>
      <c r="D53" s="17"/>
      <c r="E53" s="17"/>
      <c r="F53" s="17"/>
      <c r="G53" s="17"/>
      <c r="H53" s="17"/>
    </row>
  </sheetData>
  <mergeCells count="33">
    <mergeCell ref="X5:Y5"/>
    <mergeCell ref="X6:Y6"/>
    <mergeCell ref="X7:Y7"/>
    <mergeCell ref="S15:S16"/>
    <mergeCell ref="D51:H51"/>
    <mergeCell ref="J47:K47"/>
    <mergeCell ref="O51:P51"/>
    <mergeCell ref="J13:L13"/>
    <mergeCell ref="O17:P17"/>
    <mergeCell ref="B21:F21"/>
    <mergeCell ref="C26:H26"/>
    <mergeCell ref="M25:P25"/>
    <mergeCell ref="B30:D30"/>
    <mergeCell ref="B28:H28"/>
    <mergeCell ref="J28:P28"/>
    <mergeCell ref="B37:H37"/>
    <mergeCell ref="J37:P37"/>
    <mergeCell ref="B45:H45"/>
    <mergeCell ref="J45:P45"/>
    <mergeCell ref="L35:P35"/>
    <mergeCell ref="B39:C39"/>
    <mergeCell ref="F43:H43"/>
    <mergeCell ref="J39:M39"/>
    <mergeCell ref="B1:P1"/>
    <mergeCell ref="B3:H3"/>
    <mergeCell ref="J3:P3"/>
    <mergeCell ref="B11:H11"/>
    <mergeCell ref="J11:P11"/>
    <mergeCell ref="B19:H19"/>
    <mergeCell ref="J19:P19"/>
    <mergeCell ref="J9:P9"/>
    <mergeCell ref="B5:E5"/>
    <mergeCell ref="E17:H17"/>
  </mergeCells>
  <hyperlinks>
    <hyperlink ref="U40" r:id="rId1"/>
  </hyperlinks>
  <printOptions horizontalCentered="1"/>
  <pageMargins left="0.75" right="0.75" top="0.75" bottom="0.5" header="0.5" footer="0.5"/>
  <pageSetup orientation="portrait" horizontalDpi="300" verticalDpi="300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A1:AG53"/>
  <sheetViews>
    <sheetView workbookViewId="0">
      <selection activeCell="D36" sqref="D36"/>
    </sheetView>
  </sheetViews>
  <sheetFormatPr defaultColWidth="9.140625" defaultRowHeight="12.75" x14ac:dyDescent="0.2"/>
  <cols>
    <col min="1" max="1" width="1.28515625" style="2" customWidth="1"/>
    <col min="2" max="8" width="5.140625" style="2" customWidth="1"/>
    <col min="9" max="9" width="5.7109375" style="2" customWidth="1"/>
    <col min="10" max="16" width="5.140625" style="2" customWidth="1"/>
    <col min="17" max="17" width="1.28515625" style="2" customWidth="1"/>
    <col min="18" max="18" width="3.42578125" style="2" customWidth="1"/>
    <col min="19" max="19" width="5.5703125" style="2" customWidth="1"/>
    <col min="20" max="20" width="9.140625" style="2"/>
    <col min="21" max="21" width="10.28515625" style="2" customWidth="1"/>
    <col min="22" max="22" width="10.42578125" style="2" customWidth="1"/>
    <col min="23" max="23" width="0" style="2" hidden="1" customWidth="1"/>
    <col min="24" max="24" width="5.42578125" style="2" hidden="1" customWidth="1"/>
    <col min="25" max="25" width="2.28515625" style="2" hidden="1" customWidth="1"/>
    <col min="26" max="26" width="9.42578125" style="2" customWidth="1"/>
    <col min="27" max="27" width="10.42578125" style="2" customWidth="1"/>
    <col min="28" max="28" width="11.28515625" style="2" bestFit="1" customWidth="1"/>
    <col min="29" max="29" width="11" style="2" customWidth="1"/>
    <col min="30" max="30" width="20.5703125" style="2" bestFit="1" customWidth="1"/>
    <col min="31" max="31" width="9.140625" style="2"/>
    <col min="32" max="32" width="14" style="2" bestFit="1" customWidth="1"/>
    <col min="33" max="16384" width="9.140625" style="2"/>
  </cols>
  <sheetData>
    <row r="1" spans="1:28" ht="26.1" customHeight="1" x14ac:dyDescent="0.2">
      <c r="A1" s="1"/>
      <c r="B1" s="296">
        <v>2016</v>
      </c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7"/>
      <c r="S1" s="49" t="s">
        <v>126</v>
      </c>
      <c r="AA1" s="1"/>
    </row>
    <row r="2" spans="1:28" ht="15.75" customHeight="1" x14ac:dyDescent="0.25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R2" s="134"/>
      <c r="S2" s="50" t="s">
        <v>25</v>
      </c>
    </row>
    <row r="3" spans="1:28" x14ac:dyDescent="0.2">
      <c r="A3" s="1"/>
      <c r="B3" s="290" t="s">
        <v>0</v>
      </c>
      <c r="C3" s="290"/>
      <c r="D3" s="290"/>
      <c r="E3" s="290"/>
      <c r="F3" s="290"/>
      <c r="G3" s="290"/>
      <c r="H3" s="290"/>
      <c r="I3" s="4"/>
      <c r="J3" s="290" t="s">
        <v>1</v>
      </c>
      <c r="K3" s="290"/>
      <c r="L3" s="290"/>
      <c r="M3" s="290"/>
      <c r="N3" s="290"/>
      <c r="O3" s="290"/>
      <c r="P3" s="290"/>
      <c r="Q3" s="5"/>
      <c r="X3" s="51"/>
      <c r="Y3" s="51"/>
      <c r="Z3" s="51"/>
      <c r="AA3" s="51"/>
    </row>
    <row r="4" spans="1:28" x14ac:dyDescent="0.2">
      <c r="A4" s="1"/>
      <c r="B4" s="6" t="s">
        <v>2</v>
      </c>
      <c r="C4" s="6" t="s">
        <v>3</v>
      </c>
      <c r="D4" s="6" t="s">
        <v>4</v>
      </c>
      <c r="E4" s="6" t="s">
        <v>5</v>
      </c>
      <c r="F4" s="6" t="s">
        <v>4</v>
      </c>
      <c r="G4" s="6" t="s">
        <v>6</v>
      </c>
      <c r="H4" s="6" t="s">
        <v>2</v>
      </c>
      <c r="I4" s="7"/>
      <c r="J4" s="6" t="s">
        <v>2</v>
      </c>
      <c r="K4" s="6" t="s">
        <v>3</v>
      </c>
      <c r="L4" s="6" t="s">
        <v>4</v>
      </c>
      <c r="M4" s="6" t="s">
        <v>5</v>
      </c>
      <c r="N4" s="6" t="s">
        <v>4</v>
      </c>
      <c r="O4" s="6" t="s">
        <v>6</v>
      </c>
      <c r="P4" s="6" t="s">
        <v>2</v>
      </c>
      <c r="Q4" s="5"/>
      <c r="V4" s="1"/>
      <c r="W4" s="1"/>
      <c r="X4" s="52" t="s">
        <v>24</v>
      </c>
      <c r="Y4" s="52"/>
      <c r="Z4" s="53" t="s">
        <v>26</v>
      </c>
      <c r="AA4" s="53" t="s">
        <v>27</v>
      </c>
      <c r="AB4" s="5"/>
    </row>
    <row r="5" spans="1:28" ht="14.25" x14ac:dyDescent="0.2">
      <c r="A5" s="1"/>
      <c r="B5" s="291"/>
      <c r="C5" s="292"/>
      <c r="D5" s="292"/>
      <c r="E5" s="292"/>
      <c r="F5" s="292"/>
      <c r="G5" s="8">
        <v>1</v>
      </c>
      <c r="H5" s="9">
        <v>2</v>
      </c>
      <c r="I5" s="7"/>
      <c r="J5" s="132"/>
      <c r="K5" s="11">
        <v>1</v>
      </c>
      <c r="L5" s="11">
        <v>2</v>
      </c>
      <c r="M5" s="11">
        <v>3</v>
      </c>
      <c r="N5" s="11">
        <v>4</v>
      </c>
      <c r="O5" s="11">
        <v>5</v>
      </c>
      <c r="P5" s="11">
        <v>6</v>
      </c>
      <c r="Q5" s="5"/>
      <c r="S5" s="39"/>
      <c r="T5" s="40" t="s">
        <v>17</v>
      </c>
      <c r="U5" s="40"/>
      <c r="V5" s="54"/>
      <c r="W5" s="1">
        <f>Z5/2</f>
        <v>0</v>
      </c>
      <c r="X5" s="300">
        <f ca="1">CountCellsByColor(A1:Q52,S5)</f>
        <v>17</v>
      </c>
      <c r="Y5" s="301"/>
      <c r="Z5" s="55"/>
      <c r="AA5" s="55">
        <f ca="1">X5-W5</f>
        <v>17</v>
      </c>
      <c r="AB5" s="5"/>
    </row>
    <row r="6" spans="1:28" ht="14.25" x14ac:dyDescent="0.2">
      <c r="A6" s="1"/>
      <c r="B6" s="9">
        <v>3</v>
      </c>
      <c r="C6" s="11">
        <v>4</v>
      </c>
      <c r="D6" s="11">
        <v>5</v>
      </c>
      <c r="E6" s="11">
        <v>6</v>
      </c>
      <c r="F6" s="11">
        <v>7</v>
      </c>
      <c r="G6" s="11">
        <v>8</v>
      </c>
      <c r="H6" s="9">
        <v>9</v>
      </c>
      <c r="I6" s="7"/>
      <c r="J6" s="9">
        <v>7</v>
      </c>
      <c r="K6" s="11">
        <v>8</v>
      </c>
      <c r="L6" s="11">
        <v>9</v>
      </c>
      <c r="M6" s="11">
        <v>10</v>
      </c>
      <c r="N6" s="11">
        <v>11</v>
      </c>
      <c r="O6" s="11">
        <v>12</v>
      </c>
      <c r="P6" s="9">
        <v>13</v>
      </c>
      <c r="Q6" s="5"/>
      <c r="S6" s="41"/>
      <c r="T6" s="40" t="s">
        <v>18</v>
      </c>
      <c r="U6" s="40"/>
      <c r="V6" s="54"/>
      <c r="W6" s="1">
        <f t="shared" ref="W6:W14" si="0">Z6/2</f>
        <v>0</v>
      </c>
      <c r="X6" s="300">
        <f ca="1">CountCellsByColor(A1:Q53,S6)</f>
        <v>4</v>
      </c>
      <c r="Y6" s="301"/>
      <c r="Z6" s="55"/>
      <c r="AA6" s="55">
        <f ca="1">X6-W6</f>
        <v>4</v>
      </c>
      <c r="AB6" s="5"/>
    </row>
    <row r="7" spans="1:28" ht="14.25" x14ac:dyDescent="0.2">
      <c r="A7" s="1"/>
      <c r="B7" s="9">
        <v>10</v>
      </c>
      <c r="C7" s="11">
        <v>11</v>
      </c>
      <c r="D7" s="11">
        <v>12</v>
      </c>
      <c r="E7" s="11">
        <v>13</v>
      </c>
      <c r="F7" s="11">
        <v>14</v>
      </c>
      <c r="G7" s="11">
        <v>15</v>
      </c>
      <c r="H7" s="9">
        <v>16</v>
      </c>
      <c r="I7" s="7"/>
      <c r="J7" s="9">
        <v>14</v>
      </c>
      <c r="K7" s="166">
        <v>15</v>
      </c>
      <c r="L7" s="11">
        <v>16</v>
      </c>
      <c r="M7" s="11">
        <v>17</v>
      </c>
      <c r="N7" s="11">
        <v>18</v>
      </c>
      <c r="O7" s="11">
        <v>19</v>
      </c>
      <c r="P7" s="9">
        <v>20</v>
      </c>
      <c r="Q7" s="5"/>
      <c r="S7" s="45"/>
      <c r="T7" s="40" t="s">
        <v>19</v>
      </c>
      <c r="U7" s="40"/>
      <c r="V7" s="54"/>
      <c r="W7" s="1">
        <f t="shared" si="0"/>
        <v>0</v>
      </c>
      <c r="X7" s="300">
        <f ca="1">CountCellsByColor(A1:Q54,S7)</f>
        <v>0</v>
      </c>
      <c r="Y7" s="301"/>
      <c r="Z7" s="55"/>
      <c r="AA7" s="55">
        <f ca="1">X7-W7</f>
        <v>0</v>
      </c>
      <c r="AB7" s="5"/>
    </row>
    <row r="8" spans="1:28" ht="14.25" x14ac:dyDescent="0.2">
      <c r="A8" s="1"/>
      <c r="B8" s="9">
        <v>17</v>
      </c>
      <c r="C8" s="11">
        <v>18</v>
      </c>
      <c r="D8" s="11">
        <v>19</v>
      </c>
      <c r="E8" s="11">
        <v>20</v>
      </c>
      <c r="F8" s="11">
        <v>21</v>
      </c>
      <c r="G8" s="11">
        <v>22</v>
      </c>
      <c r="H8" s="9">
        <v>23</v>
      </c>
      <c r="I8" s="7"/>
      <c r="J8" s="9">
        <v>21</v>
      </c>
      <c r="K8" s="11">
        <v>22</v>
      </c>
      <c r="L8" s="11">
        <v>23</v>
      </c>
      <c r="M8" s="11">
        <v>24</v>
      </c>
      <c r="N8" s="11">
        <v>25</v>
      </c>
      <c r="O8" s="11">
        <v>26</v>
      </c>
      <c r="P8" s="9">
        <v>27</v>
      </c>
      <c r="Q8" s="5"/>
      <c r="T8" s="40"/>
      <c r="U8" s="40"/>
      <c r="V8" s="54"/>
      <c r="W8" s="1">
        <f t="shared" si="0"/>
        <v>0</v>
      </c>
      <c r="X8" s="56"/>
      <c r="Y8" s="56"/>
      <c r="Z8" s="57"/>
      <c r="AA8" s="57"/>
      <c r="AB8" s="5"/>
    </row>
    <row r="9" spans="1:28" ht="14.25" x14ac:dyDescent="0.2">
      <c r="A9" s="1"/>
      <c r="B9" s="32">
        <v>24</v>
      </c>
      <c r="C9" s="32">
        <v>25</v>
      </c>
      <c r="D9" s="32">
        <v>26</v>
      </c>
      <c r="E9" s="32">
        <v>27</v>
      </c>
      <c r="F9" s="32">
        <v>28</v>
      </c>
      <c r="G9" s="32">
        <v>29</v>
      </c>
      <c r="H9" s="32">
        <v>30</v>
      </c>
      <c r="I9" s="7"/>
      <c r="J9" s="12">
        <v>28</v>
      </c>
      <c r="K9" s="32">
        <v>29</v>
      </c>
      <c r="L9" s="306"/>
      <c r="M9" s="307"/>
      <c r="N9" s="307"/>
      <c r="O9" s="307"/>
      <c r="P9" s="305"/>
      <c r="Q9" s="5"/>
      <c r="T9" s="40" t="s">
        <v>20</v>
      </c>
      <c r="U9" s="40"/>
      <c r="V9" s="54"/>
      <c r="W9" s="1">
        <f t="shared" si="0"/>
        <v>0</v>
      </c>
      <c r="X9" s="56"/>
      <c r="Y9" s="56"/>
      <c r="Z9" s="57"/>
      <c r="AA9" s="57"/>
      <c r="AB9" s="5"/>
    </row>
    <row r="10" spans="1:28" ht="14.25" x14ac:dyDescent="0.2">
      <c r="A10" s="1"/>
      <c r="B10" s="11">
        <v>31</v>
      </c>
      <c r="C10" s="299"/>
      <c r="D10" s="292"/>
      <c r="E10" s="292"/>
      <c r="F10" s="292"/>
      <c r="G10" s="292"/>
      <c r="H10" s="292"/>
      <c r="I10" s="13"/>
      <c r="J10" s="4"/>
      <c r="K10" s="14"/>
      <c r="L10" s="15"/>
      <c r="M10" s="15"/>
      <c r="N10" s="15"/>
      <c r="O10" s="15"/>
      <c r="P10" s="15"/>
      <c r="T10" s="40"/>
      <c r="U10" s="40"/>
      <c r="V10" s="54"/>
      <c r="W10" s="1">
        <f t="shared" si="0"/>
        <v>0</v>
      </c>
      <c r="X10" s="56"/>
      <c r="Y10" s="56"/>
      <c r="Z10" s="57"/>
      <c r="AA10" s="57"/>
      <c r="AB10" s="5"/>
    </row>
    <row r="11" spans="1:28" ht="6" customHeight="1" x14ac:dyDescent="0.2">
      <c r="A11" s="1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S11" s="42"/>
      <c r="T11" s="40"/>
      <c r="U11" s="40"/>
      <c r="V11" s="54"/>
      <c r="W11" s="1">
        <f t="shared" si="0"/>
        <v>0</v>
      </c>
      <c r="X11" s="56"/>
      <c r="Y11" s="56"/>
      <c r="Z11" s="57"/>
      <c r="AA11" s="57"/>
      <c r="AB11" s="5"/>
    </row>
    <row r="12" spans="1:28" ht="14.25" x14ac:dyDescent="0.2">
      <c r="A12" s="1"/>
      <c r="B12" s="290" t="s">
        <v>7</v>
      </c>
      <c r="C12" s="290"/>
      <c r="D12" s="290"/>
      <c r="E12" s="290"/>
      <c r="F12" s="290"/>
      <c r="G12" s="290"/>
      <c r="H12" s="290"/>
      <c r="I12" s="4"/>
      <c r="J12" s="290" t="s">
        <v>8</v>
      </c>
      <c r="K12" s="290"/>
      <c r="L12" s="290"/>
      <c r="M12" s="290"/>
      <c r="N12" s="290"/>
      <c r="O12" s="290"/>
      <c r="P12" s="290"/>
      <c r="Q12" s="5"/>
      <c r="S12" s="43"/>
      <c r="T12" s="40" t="s">
        <v>21</v>
      </c>
      <c r="V12" s="1"/>
      <c r="W12" s="1">
        <f t="shared" si="0"/>
        <v>0</v>
      </c>
      <c r="X12" s="58">
        <f ca="1">CountCellsByColor(B1:R59,S12)</f>
        <v>0</v>
      </c>
      <c r="Y12" s="58"/>
      <c r="Z12" s="55"/>
      <c r="AA12" s="55">
        <f ca="1">X12-W12</f>
        <v>0</v>
      </c>
      <c r="AB12" s="5"/>
    </row>
    <row r="13" spans="1:28" ht="14.25" x14ac:dyDescent="0.2">
      <c r="A13" s="1"/>
      <c r="B13" s="6" t="s">
        <v>2</v>
      </c>
      <c r="C13" s="6" t="s">
        <v>3</v>
      </c>
      <c r="D13" s="6" t="s">
        <v>4</v>
      </c>
      <c r="E13" s="6" t="s">
        <v>5</v>
      </c>
      <c r="F13" s="6" t="s">
        <v>4</v>
      </c>
      <c r="G13" s="6" t="s">
        <v>6</v>
      </c>
      <c r="H13" s="6" t="s">
        <v>2</v>
      </c>
      <c r="I13" s="4"/>
      <c r="J13" s="6" t="s">
        <v>2</v>
      </c>
      <c r="K13" s="6" t="s">
        <v>3</v>
      </c>
      <c r="L13" s="6" t="s">
        <v>4</v>
      </c>
      <c r="M13" s="6" t="s">
        <v>5</v>
      </c>
      <c r="N13" s="6" t="s">
        <v>4</v>
      </c>
      <c r="O13" s="6" t="s">
        <v>6</v>
      </c>
      <c r="P13" s="6" t="s">
        <v>2</v>
      </c>
      <c r="Q13" s="5"/>
      <c r="S13" s="44"/>
      <c r="T13" s="40" t="s">
        <v>22</v>
      </c>
      <c r="V13" s="1"/>
      <c r="W13" s="1">
        <f t="shared" si="0"/>
        <v>0</v>
      </c>
      <c r="X13" s="58">
        <f ca="1">CountCellsByColor(A1:R60,S13)</f>
        <v>0</v>
      </c>
      <c r="Y13" s="58"/>
      <c r="Z13" s="55"/>
      <c r="AA13" s="55">
        <f ca="1">X13-W13</f>
        <v>0</v>
      </c>
      <c r="AB13" s="5"/>
    </row>
    <row r="14" spans="1:28" x14ac:dyDescent="0.2">
      <c r="A14" s="1"/>
      <c r="B14" s="299"/>
      <c r="C14" s="292"/>
      <c r="D14" s="11">
        <v>1</v>
      </c>
      <c r="E14" s="11">
        <v>2</v>
      </c>
      <c r="F14" s="11">
        <v>3</v>
      </c>
      <c r="G14" s="8">
        <v>4</v>
      </c>
      <c r="H14" s="9">
        <v>5</v>
      </c>
      <c r="I14" s="4"/>
      <c r="J14" s="299"/>
      <c r="K14" s="292"/>
      <c r="L14" s="292"/>
      <c r="M14" s="292"/>
      <c r="N14" s="292"/>
      <c r="O14" s="11">
        <v>1</v>
      </c>
      <c r="P14" s="11">
        <v>2</v>
      </c>
      <c r="Q14" s="5"/>
      <c r="S14" s="135"/>
      <c r="T14" s="2" t="s">
        <v>110</v>
      </c>
      <c r="W14" s="1">
        <f t="shared" si="0"/>
        <v>0</v>
      </c>
      <c r="X14" s="58">
        <f ca="1">CountCellsByColor(A1:R61,S14)</f>
        <v>0</v>
      </c>
      <c r="Y14" s="58"/>
      <c r="Z14" s="58"/>
      <c r="AA14" s="55">
        <f ca="1">X14-W14</f>
        <v>0</v>
      </c>
      <c r="AB14" s="5"/>
    </row>
    <row r="15" spans="1:28" ht="15" thickBot="1" x14ac:dyDescent="0.25">
      <c r="A15" s="1"/>
      <c r="B15" s="9">
        <v>6</v>
      </c>
      <c r="C15" s="11">
        <v>7</v>
      </c>
      <c r="D15" s="11">
        <v>8</v>
      </c>
      <c r="E15" s="11">
        <v>9</v>
      </c>
      <c r="F15" s="11">
        <v>10</v>
      </c>
      <c r="G15" s="11">
        <v>11</v>
      </c>
      <c r="H15" s="9">
        <v>12</v>
      </c>
      <c r="I15" s="4"/>
      <c r="J15" s="9">
        <v>3</v>
      </c>
      <c r="K15" s="11">
        <v>4</v>
      </c>
      <c r="L15" s="11">
        <v>5</v>
      </c>
      <c r="M15" s="11">
        <v>6</v>
      </c>
      <c r="N15" s="11">
        <v>7</v>
      </c>
      <c r="O15" s="11">
        <v>8</v>
      </c>
      <c r="P15" s="9">
        <v>9</v>
      </c>
      <c r="Q15" s="5"/>
      <c r="S15" s="136"/>
      <c r="T15" s="40" t="s">
        <v>111</v>
      </c>
      <c r="W15" s="1">
        <f>Z15/2</f>
        <v>0</v>
      </c>
      <c r="X15" s="58">
        <f ca="1">CountCellsByColor(A1:R62,S15)</f>
        <v>0</v>
      </c>
      <c r="Y15" s="58"/>
      <c r="Z15" s="58"/>
      <c r="AA15" s="55">
        <f ca="1">X15-W15</f>
        <v>0</v>
      </c>
    </row>
    <row r="16" spans="1:28" ht="16.5" thickBot="1" x14ac:dyDescent="0.25">
      <c r="A16" s="1"/>
      <c r="B16" s="9">
        <v>13</v>
      </c>
      <c r="C16" s="11">
        <v>14</v>
      </c>
      <c r="D16" s="11">
        <v>15</v>
      </c>
      <c r="E16" s="11">
        <v>16</v>
      </c>
      <c r="F16" s="11">
        <v>17</v>
      </c>
      <c r="G16" s="11">
        <v>18</v>
      </c>
      <c r="H16" s="9">
        <v>19</v>
      </c>
      <c r="I16" s="4"/>
      <c r="J16" s="9">
        <v>10</v>
      </c>
      <c r="K16" s="32">
        <v>11</v>
      </c>
      <c r="L16" s="32">
        <v>12</v>
      </c>
      <c r="M16" s="32">
        <v>13</v>
      </c>
      <c r="N16" s="32">
        <v>14</v>
      </c>
      <c r="O16" s="32">
        <v>15</v>
      </c>
      <c r="P16" s="32">
        <v>16</v>
      </c>
      <c r="Q16" s="5"/>
      <c r="S16" s="311"/>
      <c r="T16" s="312" t="s">
        <v>23</v>
      </c>
      <c r="U16" s="313"/>
      <c r="W16" s="137">
        <f ca="1">TODAY()</f>
        <v>43081</v>
      </c>
      <c r="X16" s="138" t="e">
        <f ca="1">DATEDIF(W16,Z21,"d")</f>
        <v>#NUM!</v>
      </c>
    </row>
    <row r="17" spans="1:30" ht="13.5" customHeight="1" thickBot="1" x14ac:dyDescent="0.25">
      <c r="A17" s="1"/>
      <c r="B17" s="9">
        <v>20</v>
      </c>
      <c r="C17" s="11">
        <v>21</v>
      </c>
      <c r="D17" s="11">
        <v>22</v>
      </c>
      <c r="E17" s="11">
        <v>23</v>
      </c>
      <c r="F17" s="11">
        <v>24</v>
      </c>
      <c r="G17" s="11">
        <v>25</v>
      </c>
      <c r="H17" s="9">
        <v>26</v>
      </c>
      <c r="I17" s="4"/>
      <c r="J17" s="9">
        <v>17</v>
      </c>
      <c r="K17" s="11">
        <v>18</v>
      </c>
      <c r="L17" s="11">
        <v>19</v>
      </c>
      <c r="M17" s="11">
        <v>20</v>
      </c>
      <c r="N17" s="11">
        <v>21</v>
      </c>
      <c r="O17" s="11">
        <v>22</v>
      </c>
      <c r="P17" s="9">
        <v>23</v>
      </c>
      <c r="Q17" s="5"/>
      <c r="S17" s="303"/>
      <c r="T17" s="314"/>
      <c r="U17" s="315"/>
      <c r="Z17" s="51"/>
      <c r="AA17" s="51"/>
    </row>
    <row r="18" spans="1:30" ht="16.5" customHeight="1" thickBot="1" x14ac:dyDescent="0.25">
      <c r="A18" s="1"/>
      <c r="B18" s="9">
        <v>27</v>
      </c>
      <c r="C18" s="11">
        <v>28</v>
      </c>
      <c r="D18" s="11">
        <v>29</v>
      </c>
      <c r="E18" s="11">
        <v>30</v>
      </c>
      <c r="F18" s="11">
        <v>31</v>
      </c>
      <c r="G18" s="299"/>
      <c r="H18" s="292"/>
      <c r="I18" s="4"/>
      <c r="J18" s="9">
        <v>24</v>
      </c>
      <c r="K18" s="11">
        <v>25</v>
      </c>
      <c r="L18" s="12">
        <v>26</v>
      </c>
      <c r="M18" s="12">
        <v>27</v>
      </c>
      <c r="N18" s="12">
        <v>28</v>
      </c>
      <c r="O18" s="12">
        <v>29</v>
      </c>
      <c r="P18" s="12">
        <v>30</v>
      </c>
      <c r="Q18" s="5"/>
      <c r="S18" s="2" t="s">
        <v>112</v>
      </c>
      <c r="Y18" s="1"/>
      <c r="Z18" s="139">
        <v>15.34</v>
      </c>
      <c r="AA18" s="140" t="s">
        <v>113</v>
      </c>
      <c r="AB18" s="5"/>
    </row>
    <row r="19" spans="1:30" ht="18" customHeight="1" thickBot="1" x14ac:dyDescent="0.25">
      <c r="A19" s="1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S19" s="2" t="s">
        <v>114</v>
      </c>
      <c r="Y19" s="1"/>
      <c r="Z19" s="141">
        <f>'[1]Attendance from November 2015'!$H$71</f>
        <v>342.5</v>
      </c>
      <c r="AA19" s="140" t="s">
        <v>113</v>
      </c>
      <c r="AB19" s="5"/>
    </row>
    <row r="20" spans="1:30" ht="24.75" customHeight="1" thickBot="1" x14ac:dyDescent="0.25">
      <c r="A20" s="1"/>
      <c r="B20" s="290" t="s">
        <v>9</v>
      </c>
      <c r="C20" s="290"/>
      <c r="D20" s="290"/>
      <c r="E20" s="290"/>
      <c r="F20" s="290"/>
      <c r="G20" s="290"/>
      <c r="H20" s="290"/>
      <c r="I20" s="4"/>
      <c r="J20" s="290" t="s">
        <v>10</v>
      </c>
      <c r="K20" s="290"/>
      <c r="L20" s="290"/>
      <c r="M20" s="290"/>
      <c r="N20" s="290"/>
      <c r="O20" s="290"/>
      <c r="P20" s="290"/>
      <c r="Q20" s="5"/>
      <c r="S20" s="142" t="s">
        <v>115</v>
      </c>
      <c r="T20" s="51"/>
      <c r="U20" s="51"/>
      <c r="V20" s="51"/>
      <c r="W20" s="51"/>
      <c r="X20" s="51"/>
      <c r="Y20" s="143"/>
      <c r="Z20" s="144">
        <f ca="1">Z19*0.09-AA5+AA12+Z18+AA15</f>
        <v>29.164999999999999</v>
      </c>
      <c r="AA20" s="145" t="s">
        <v>113</v>
      </c>
      <c r="AB20" s="5"/>
    </row>
    <row r="21" spans="1:30" ht="16.5" thickBot="1" x14ac:dyDescent="0.25">
      <c r="A21" s="1"/>
      <c r="B21" s="6" t="s">
        <v>2</v>
      </c>
      <c r="C21" s="6" t="s">
        <v>3</v>
      </c>
      <c r="D21" s="6" t="s">
        <v>4</v>
      </c>
      <c r="E21" s="6" t="s">
        <v>5</v>
      </c>
      <c r="F21" s="6" t="s">
        <v>4</v>
      </c>
      <c r="G21" s="6" t="s">
        <v>6</v>
      </c>
      <c r="H21" s="6" t="s">
        <v>2</v>
      </c>
      <c r="I21" s="4"/>
      <c r="J21" s="6" t="s">
        <v>2</v>
      </c>
      <c r="K21" s="6" t="s">
        <v>3</v>
      </c>
      <c r="L21" s="6" t="s">
        <v>4</v>
      </c>
      <c r="M21" s="6" t="s">
        <v>5</v>
      </c>
      <c r="N21" s="6" t="s">
        <v>4</v>
      </c>
      <c r="O21" s="6" t="s">
        <v>6</v>
      </c>
      <c r="P21" s="6" t="s">
        <v>2</v>
      </c>
      <c r="Q21" s="5"/>
      <c r="S21" s="308" t="s">
        <v>116</v>
      </c>
      <c r="T21" s="308"/>
      <c r="U21" s="308"/>
      <c r="V21" s="308"/>
      <c r="W21" s="146"/>
      <c r="X21" s="146"/>
      <c r="Y21" s="147"/>
      <c r="Z21" s="309"/>
      <c r="AA21" s="310"/>
      <c r="AD21" s="148"/>
    </row>
    <row r="22" spans="1:30" ht="16.5" thickBot="1" x14ac:dyDescent="0.25">
      <c r="A22" s="1"/>
      <c r="B22" s="9">
        <v>1</v>
      </c>
      <c r="C22" s="11">
        <v>2</v>
      </c>
      <c r="D22" s="11">
        <v>3</v>
      </c>
      <c r="E22" s="11">
        <v>4</v>
      </c>
      <c r="F22" s="11">
        <v>5</v>
      </c>
      <c r="G22" s="11">
        <v>6</v>
      </c>
      <c r="H22" s="9">
        <v>7</v>
      </c>
      <c r="I22" s="4"/>
      <c r="J22" s="299"/>
      <c r="K22" s="292"/>
      <c r="L22" s="292"/>
      <c r="M22" s="11">
        <v>1</v>
      </c>
      <c r="N22" s="11">
        <v>2</v>
      </c>
      <c r="O22" s="11">
        <v>3</v>
      </c>
      <c r="P22" s="11">
        <v>4</v>
      </c>
      <c r="Q22" s="5"/>
      <c r="S22" s="149" t="s">
        <v>117</v>
      </c>
      <c r="T22" s="150"/>
      <c r="U22" s="151"/>
      <c r="V22" s="152">
        <f>+Z21</f>
        <v>0</v>
      </c>
      <c r="W22" s="153" t="s">
        <v>113</v>
      </c>
      <c r="X22" s="154"/>
      <c r="Y22" s="155"/>
      <c r="Z22" s="156" t="e">
        <f ca="1">X16*0.09+Z20</f>
        <v>#NUM!</v>
      </c>
      <c r="AA22" s="157" t="s">
        <v>113</v>
      </c>
      <c r="AD22" s="158"/>
    </row>
    <row r="23" spans="1:30" x14ac:dyDescent="0.2">
      <c r="A23" s="1"/>
      <c r="B23" s="9">
        <v>8</v>
      </c>
      <c r="C23" s="11">
        <v>9</v>
      </c>
      <c r="D23" s="11">
        <v>10</v>
      </c>
      <c r="E23" s="11">
        <v>11</v>
      </c>
      <c r="F23" s="11">
        <v>12</v>
      </c>
      <c r="G23" s="11">
        <v>13</v>
      </c>
      <c r="H23" s="9">
        <v>14</v>
      </c>
      <c r="I23" s="4"/>
      <c r="J23" s="9">
        <v>5</v>
      </c>
      <c r="K23" s="11">
        <v>6</v>
      </c>
      <c r="L23" s="11">
        <v>7</v>
      </c>
      <c r="M23" s="11">
        <v>8</v>
      </c>
      <c r="N23" s="11">
        <v>9</v>
      </c>
      <c r="O23" s="11">
        <v>10</v>
      </c>
      <c r="P23" s="9">
        <v>11</v>
      </c>
      <c r="Q23" s="5"/>
      <c r="AD23" s="158"/>
    </row>
    <row r="24" spans="1:30" ht="15.75" x14ac:dyDescent="0.25">
      <c r="A24" s="1"/>
      <c r="B24" s="9">
        <v>15</v>
      </c>
      <c r="C24" s="11">
        <v>16</v>
      </c>
      <c r="D24" s="11">
        <v>17</v>
      </c>
      <c r="E24" s="11">
        <v>18</v>
      </c>
      <c r="F24" s="11">
        <v>19</v>
      </c>
      <c r="G24" s="11">
        <v>20</v>
      </c>
      <c r="H24" s="9">
        <v>21</v>
      </c>
      <c r="I24" s="4"/>
      <c r="J24" s="176">
        <v>12</v>
      </c>
      <c r="K24" s="176">
        <v>13</v>
      </c>
      <c r="L24" s="176">
        <v>14</v>
      </c>
      <c r="M24" s="32">
        <v>15</v>
      </c>
      <c r="N24" s="32">
        <v>16</v>
      </c>
      <c r="O24" s="32">
        <v>17</v>
      </c>
      <c r="P24" s="32">
        <v>18</v>
      </c>
      <c r="Q24" s="5"/>
      <c r="S24" s="124" t="s">
        <v>74</v>
      </c>
      <c r="Z24" s="17"/>
      <c r="AA24" s="17"/>
      <c r="AD24" s="158"/>
    </row>
    <row r="25" spans="1:30" x14ac:dyDescent="0.2">
      <c r="A25" s="1"/>
      <c r="B25" s="9">
        <v>22</v>
      </c>
      <c r="C25" s="11">
        <v>23</v>
      </c>
      <c r="D25" s="11">
        <v>24</v>
      </c>
      <c r="E25" s="11">
        <v>25</v>
      </c>
      <c r="F25" s="11">
        <v>26</v>
      </c>
      <c r="G25" s="11">
        <v>27</v>
      </c>
      <c r="H25" s="9">
        <v>28</v>
      </c>
      <c r="I25" s="4"/>
      <c r="J25" s="9">
        <v>19</v>
      </c>
      <c r="K25" s="11">
        <v>20</v>
      </c>
      <c r="L25" s="11">
        <v>21</v>
      </c>
      <c r="M25" s="11">
        <v>22</v>
      </c>
      <c r="N25" s="11">
        <v>23</v>
      </c>
      <c r="O25" s="11">
        <v>24</v>
      </c>
      <c r="P25" s="9">
        <v>25</v>
      </c>
      <c r="Q25" s="5"/>
    </row>
    <row r="26" spans="1:30" x14ac:dyDescent="0.2">
      <c r="A26" s="1"/>
      <c r="B26" s="11">
        <v>29</v>
      </c>
      <c r="C26" s="11">
        <v>30</v>
      </c>
      <c r="D26" s="11">
        <v>31</v>
      </c>
      <c r="E26" s="299"/>
      <c r="F26" s="292"/>
      <c r="G26" s="292"/>
      <c r="H26" s="292"/>
      <c r="I26" s="4"/>
      <c r="J26" s="9">
        <v>26</v>
      </c>
      <c r="K26" s="11">
        <v>27</v>
      </c>
      <c r="L26" s="12">
        <v>28</v>
      </c>
      <c r="M26" s="12">
        <v>29</v>
      </c>
      <c r="N26" s="12">
        <v>30</v>
      </c>
      <c r="O26" s="299"/>
      <c r="P26" s="292"/>
      <c r="Q26" s="5"/>
      <c r="R26" s="2">
        <v>1</v>
      </c>
      <c r="S26" s="2" t="s">
        <v>75</v>
      </c>
      <c r="U26" s="125" t="s">
        <v>96</v>
      </c>
      <c r="V26" s="125"/>
      <c r="AA26" s="159"/>
      <c r="AB26" s="134"/>
    </row>
    <row r="27" spans="1:30" ht="10.5" customHeight="1" x14ac:dyDescent="0.2">
      <c r="A27" s="1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R27" s="2">
        <v>2</v>
      </c>
      <c r="S27" s="2" t="s">
        <v>76</v>
      </c>
      <c r="U27" s="2" t="s">
        <v>77</v>
      </c>
      <c r="AB27" s="160"/>
      <c r="AC27" s="158"/>
    </row>
    <row r="28" spans="1:30" x14ac:dyDescent="0.2">
      <c r="A28" s="1"/>
      <c r="B28" s="290" t="s">
        <v>11</v>
      </c>
      <c r="C28" s="290"/>
      <c r="D28" s="290"/>
      <c r="E28" s="290"/>
      <c r="F28" s="290"/>
      <c r="G28" s="290"/>
      <c r="H28" s="290"/>
      <c r="I28" s="4"/>
      <c r="J28" s="290" t="s">
        <v>12</v>
      </c>
      <c r="K28" s="290"/>
      <c r="L28" s="290"/>
      <c r="M28" s="290"/>
      <c r="N28" s="290"/>
      <c r="O28" s="290"/>
      <c r="P28" s="290"/>
      <c r="Q28" s="5"/>
      <c r="R28" s="2">
        <v>3</v>
      </c>
      <c r="S28" s="2" t="s">
        <v>78</v>
      </c>
      <c r="U28" s="126" t="s">
        <v>97</v>
      </c>
      <c r="V28" s="126"/>
      <c r="AB28" s="160"/>
      <c r="AC28" s="158"/>
    </row>
    <row r="29" spans="1:30" x14ac:dyDescent="0.2">
      <c r="A29" s="1"/>
      <c r="B29" s="6" t="s">
        <v>2</v>
      </c>
      <c r="C29" s="6" t="s">
        <v>3</v>
      </c>
      <c r="D29" s="6" t="s">
        <v>4</v>
      </c>
      <c r="E29" s="6" t="s">
        <v>5</v>
      </c>
      <c r="F29" s="6" t="s">
        <v>4</v>
      </c>
      <c r="G29" s="6" t="s">
        <v>6</v>
      </c>
      <c r="H29" s="6" t="s">
        <v>2</v>
      </c>
      <c r="I29" s="4"/>
      <c r="J29" s="6" t="s">
        <v>2</v>
      </c>
      <c r="K29" s="6" t="s">
        <v>3</v>
      </c>
      <c r="L29" s="6" t="s">
        <v>4</v>
      </c>
      <c r="M29" s="6" t="s">
        <v>5</v>
      </c>
      <c r="N29" s="6" t="s">
        <v>4</v>
      </c>
      <c r="O29" s="6" t="s">
        <v>6</v>
      </c>
      <c r="P29" s="6" t="s">
        <v>2</v>
      </c>
      <c r="Q29" s="5"/>
      <c r="R29" s="2">
        <v>4</v>
      </c>
      <c r="S29" s="2" t="s">
        <v>79</v>
      </c>
      <c r="U29" s="127" t="s">
        <v>80</v>
      </c>
      <c r="V29" s="127"/>
      <c r="AB29" s="160"/>
      <c r="AC29" s="158"/>
    </row>
    <row r="30" spans="1:30" x14ac:dyDescent="0.2">
      <c r="A30" s="1"/>
      <c r="B30" s="299"/>
      <c r="C30" s="292"/>
      <c r="D30" s="292"/>
      <c r="E30" s="292"/>
      <c r="F30" s="292"/>
      <c r="G30" s="8">
        <v>1</v>
      </c>
      <c r="H30" s="9">
        <v>2</v>
      </c>
      <c r="I30" s="4"/>
      <c r="J30" s="132"/>
      <c r="K30" s="11">
        <v>1</v>
      </c>
      <c r="L30" s="11">
        <v>2</v>
      </c>
      <c r="M30" s="11">
        <v>3</v>
      </c>
      <c r="N30" s="11">
        <v>4</v>
      </c>
      <c r="O30" s="11">
        <v>5</v>
      </c>
      <c r="P30" s="11">
        <v>6</v>
      </c>
      <c r="Q30" s="5"/>
      <c r="R30" s="2">
        <v>5</v>
      </c>
      <c r="S30" s="2" t="s">
        <v>81</v>
      </c>
      <c r="U30" s="2" t="s">
        <v>98</v>
      </c>
    </row>
    <row r="31" spans="1:30" x14ac:dyDescent="0.2">
      <c r="A31" s="1"/>
      <c r="B31" s="9">
        <v>3</v>
      </c>
      <c r="C31" s="11">
        <v>4</v>
      </c>
      <c r="D31" s="11">
        <v>5</v>
      </c>
      <c r="E31" s="11">
        <v>6</v>
      </c>
      <c r="F31" s="11">
        <v>7</v>
      </c>
      <c r="G31" s="11">
        <v>8</v>
      </c>
      <c r="H31" s="9">
        <v>9</v>
      </c>
      <c r="I31" s="4"/>
      <c r="J31" s="9">
        <v>7</v>
      </c>
      <c r="K31" s="11">
        <v>8</v>
      </c>
      <c r="L31" s="11">
        <v>9</v>
      </c>
      <c r="M31" s="11">
        <v>10</v>
      </c>
      <c r="N31" s="11">
        <v>11</v>
      </c>
      <c r="O31" s="11">
        <v>12</v>
      </c>
      <c r="P31" s="9">
        <v>13</v>
      </c>
      <c r="Q31" s="5"/>
      <c r="R31" s="2">
        <v>6</v>
      </c>
      <c r="S31" s="2" t="s">
        <v>82</v>
      </c>
      <c r="U31" s="2" t="s">
        <v>83</v>
      </c>
    </row>
    <row r="32" spans="1:30" x14ac:dyDescent="0.2">
      <c r="A32" s="1"/>
      <c r="B32" s="47">
        <v>10</v>
      </c>
      <c r="C32" s="46">
        <v>11</v>
      </c>
      <c r="D32" s="46">
        <v>12</v>
      </c>
      <c r="E32" s="46">
        <v>13</v>
      </c>
      <c r="F32" s="46">
        <v>14</v>
      </c>
      <c r="G32" s="46">
        <v>15</v>
      </c>
      <c r="H32" s="47">
        <v>16</v>
      </c>
      <c r="I32" s="4"/>
      <c r="J32" s="9">
        <v>14</v>
      </c>
      <c r="K32" s="11">
        <v>15</v>
      </c>
      <c r="L32" s="11">
        <v>16</v>
      </c>
      <c r="M32" s="11">
        <v>17</v>
      </c>
      <c r="N32" s="11">
        <v>18</v>
      </c>
      <c r="O32" s="11">
        <v>19</v>
      </c>
      <c r="P32" s="9">
        <v>20</v>
      </c>
      <c r="Q32" s="5"/>
      <c r="R32" s="2">
        <v>7</v>
      </c>
      <c r="S32" s="2" t="s">
        <v>84</v>
      </c>
      <c r="U32" s="2" t="s">
        <v>85</v>
      </c>
    </row>
    <row r="33" spans="1:33" x14ac:dyDescent="0.2">
      <c r="A33" s="1"/>
      <c r="B33" s="47">
        <v>17</v>
      </c>
      <c r="C33" s="46">
        <v>18</v>
      </c>
      <c r="D33" s="46">
        <v>19</v>
      </c>
      <c r="E33" s="46">
        <v>20</v>
      </c>
      <c r="F33" s="46">
        <v>21</v>
      </c>
      <c r="G33" s="46">
        <v>22</v>
      </c>
      <c r="H33" s="47">
        <v>23</v>
      </c>
      <c r="I33" s="4"/>
      <c r="J33" s="9">
        <v>21</v>
      </c>
      <c r="K33" s="11">
        <v>22</v>
      </c>
      <c r="L33" s="11">
        <v>23</v>
      </c>
      <c r="M33" s="11">
        <v>24</v>
      </c>
      <c r="N33" s="11">
        <v>25</v>
      </c>
      <c r="O33" s="11">
        <v>26</v>
      </c>
      <c r="P33" s="9">
        <v>27</v>
      </c>
      <c r="Q33" s="5"/>
      <c r="R33" s="2">
        <v>8</v>
      </c>
      <c r="S33" s="2" t="s">
        <v>86</v>
      </c>
      <c r="U33" s="2" t="s">
        <v>99</v>
      </c>
    </row>
    <row r="34" spans="1:33" x14ac:dyDescent="0.2">
      <c r="A34" s="1"/>
      <c r="B34" s="47">
        <v>24</v>
      </c>
      <c r="C34" s="46">
        <v>25</v>
      </c>
      <c r="D34" s="46">
        <v>26</v>
      </c>
      <c r="E34" s="11">
        <v>27</v>
      </c>
      <c r="F34" s="11">
        <v>28</v>
      </c>
      <c r="G34" s="11">
        <v>29</v>
      </c>
      <c r="H34" s="9">
        <v>30</v>
      </c>
      <c r="I34" s="4"/>
      <c r="J34" s="9">
        <v>28</v>
      </c>
      <c r="K34" s="11">
        <v>29</v>
      </c>
      <c r="L34" s="12">
        <v>30</v>
      </c>
      <c r="M34" s="12">
        <v>31</v>
      </c>
      <c r="N34" s="299"/>
      <c r="O34" s="292"/>
      <c r="P34" s="292"/>
      <c r="Q34" s="5"/>
      <c r="R34" s="2">
        <v>9</v>
      </c>
      <c r="S34" s="2" t="s">
        <v>87</v>
      </c>
      <c r="U34" s="2" t="s">
        <v>88</v>
      </c>
    </row>
    <row r="35" spans="1:33" x14ac:dyDescent="0.2">
      <c r="A35" s="1"/>
      <c r="B35" s="11">
        <v>31</v>
      </c>
      <c r="C35" s="299"/>
      <c r="D35" s="292"/>
      <c r="E35" s="292"/>
      <c r="F35" s="292"/>
      <c r="G35" s="292"/>
      <c r="H35" s="292"/>
      <c r="I35" s="4"/>
      <c r="J35" s="14"/>
      <c r="K35" s="15"/>
      <c r="L35" s="15"/>
      <c r="M35" s="15"/>
      <c r="N35" s="15"/>
      <c r="O35" s="15"/>
      <c r="P35" s="15"/>
      <c r="R35" s="2">
        <v>10</v>
      </c>
      <c r="S35" s="2" t="s">
        <v>100</v>
      </c>
      <c r="W35" s="161"/>
    </row>
    <row r="36" spans="1:33" ht="11.25" customHeight="1" x14ac:dyDescent="0.2">
      <c r="A36" s="1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R36" s="2">
        <v>11</v>
      </c>
      <c r="S36" s="2" t="s">
        <v>89</v>
      </c>
      <c r="U36" s="51" t="s">
        <v>127</v>
      </c>
    </row>
    <row r="37" spans="1:33" x14ac:dyDescent="0.2">
      <c r="A37" s="1"/>
      <c r="B37" s="290" t="s">
        <v>13</v>
      </c>
      <c r="C37" s="290"/>
      <c r="D37" s="290"/>
      <c r="E37" s="290"/>
      <c r="F37" s="290"/>
      <c r="G37" s="290"/>
      <c r="H37" s="290"/>
      <c r="I37" s="4"/>
      <c r="J37" s="290" t="s">
        <v>14</v>
      </c>
      <c r="K37" s="290"/>
      <c r="L37" s="290"/>
      <c r="M37" s="290"/>
      <c r="N37" s="290"/>
      <c r="O37" s="290"/>
      <c r="P37" s="290"/>
      <c r="Q37" s="5"/>
      <c r="R37" s="2">
        <v>12</v>
      </c>
      <c r="S37" s="2" t="s">
        <v>90</v>
      </c>
      <c r="T37" s="1"/>
      <c r="U37" s="128" t="s">
        <v>102</v>
      </c>
      <c r="V37" s="5"/>
    </row>
    <row r="38" spans="1:33" x14ac:dyDescent="0.2">
      <c r="A38" s="1"/>
      <c r="B38" s="6" t="s">
        <v>2</v>
      </c>
      <c r="C38" s="6" t="s">
        <v>3</v>
      </c>
      <c r="D38" s="6" t="s">
        <v>4</v>
      </c>
      <c r="E38" s="6" t="s">
        <v>5</v>
      </c>
      <c r="F38" s="6" t="s">
        <v>4</v>
      </c>
      <c r="G38" s="6" t="s">
        <v>6</v>
      </c>
      <c r="H38" s="6" t="s">
        <v>2</v>
      </c>
      <c r="I38" s="4"/>
      <c r="J38" s="6" t="s">
        <v>2</v>
      </c>
      <c r="K38" s="6" t="s">
        <v>3</v>
      </c>
      <c r="L38" s="6" t="s">
        <v>4</v>
      </c>
      <c r="M38" s="6" t="s">
        <v>5</v>
      </c>
      <c r="N38" s="6" t="s">
        <v>4</v>
      </c>
      <c r="O38" s="6" t="s">
        <v>6</v>
      </c>
      <c r="P38" s="6" t="s">
        <v>2</v>
      </c>
      <c r="Q38" s="5"/>
      <c r="R38" s="2">
        <v>13</v>
      </c>
      <c r="S38" s="2" t="s">
        <v>91</v>
      </c>
      <c r="T38" s="129"/>
      <c r="U38" s="130" t="s">
        <v>103</v>
      </c>
    </row>
    <row r="39" spans="1:33" x14ac:dyDescent="0.2">
      <c r="A39" s="1"/>
      <c r="B39" s="299"/>
      <c r="C39" s="292"/>
      <c r="D39" s="292"/>
      <c r="E39" s="292"/>
      <c r="F39" s="11">
        <v>1</v>
      </c>
      <c r="G39" s="8">
        <v>2</v>
      </c>
      <c r="H39" s="9">
        <v>3</v>
      </c>
      <c r="I39" s="4"/>
      <c r="J39" s="299"/>
      <c r="K39" s="292"/>
      <c r="L39" s="292"/>
      <c r="M39" s="292"/>
      <c r="N39" s="292"/>
      <c r="O39" s="292"/>
      <c r="P39" s="11">
        <v>1</v>
      </c>
      <c r="Q39" s="5"/>
      <c r="R39" s="2">
        <v>14</v>
      </c>
      <c r="S39" s="2" t="s">
        <v>92</v>
      </c>
      <c r="T39" s="1"/>
      <c r="U39" s="131">
        <v>92675480</v>
      </c>
      <c r="V39" s="5"/>
    </row>
    <row r="40" spans="1:33" x14ac:dyDescent="0.2">
      <c r="A40" s="1"/>
      <c r="B40" s="9">
        <v>4</v>
      </c>
      <c r="C40" s="11">
        <v>5</v>
      </c>
      <c r="D40" s="11">
        <v>6</v>
      </c>
      <c r="E40" s="11">
        <v>7</v>
      </c>
      <c r="F40" s="11">
        <v>8</v>
      </c>
      <c r="G40" s="11">
        <v>9</v>
      </c>
      <c r="H40" s="9">
        <v>10</v>
      </c>
      <c r="I40" s="4"/>
      <c r="J40" s="9">
        <v>2</v>
      </c>
      <c r="K40" s="11">
        <v>3</v>
      </c>
      <c r="L40" s="11">
        <v>4</v>
      </c>
      <c r="M40" s="11">
        <v>5</v>
      </c>
      <c r="N40" s="11">
        <v>6</v>
      </c>
      <c r="O40" s="11">
        <v>7</v>
      </c>
      <c r="P40" s="9">
        <v>8</v>
      </c>
      <c r="Q40" s="5"/>
      <c r="R40" s="2">
        <v>15</v>
      </c>
      <c r="S40" s="2" t="s">
        <v>93</v>
      </c>
      <c r="T40" s="129"/>
      <c r="U40" s="17" t="s">
        <v>104</v>
      </c>
      <c r="V40" s="127"/>
    </row>
    <row r="41" spans="1:33" x14ac:dyDescent="0.2">
      <c r="A41" s="1"/>
      <c r="B41" s="9">
        <v>11</v>
      </c>
      <c r="C41" s="11">
        <v>12</v>
      </c>
      <c r="D41" s="11">
        <v>13</v>
      </c>
      <c r="E41" s="11">
        <v>14</v>
      </c>
      <c r="F41" s="11">
        <v>15</v>
      </c>
      <c r="G41" s="11">
        <v>16</v>
      </c>
      <c r="H41" s="9">
        <v>17</v>
      </c>
      <c r="I41" s="4"/>
      <c r="J41" s="9">
        <v>9</v>
      </c>
      <c r="K41" s="11">
        <v>10</v>
      </c>
      <c r="L41" s="11">
        <v>11</v>
      </c>
      <c r="M41" s="11">
        <v>12</v>
      </c>
      <c r="N41" s="11">
        <v>13</v>
      </c>
      <c r="O41" s="11">
        <v>14</v>
      </c>
      <c r="P41" s="9">
        <v>15</v>
      </c>
      <c r="Q41" s="5"/>
      <c r="R41" s="2">
        <v>16</v>
      </c>
      <c r="S41" s="2" t="s">
        <v>94</v>
      </c>
      <c r="T41" s="129"/>
      <c r="U41" s="127" t="s">
        <v>95</v>
      </c>
    </row>
    <row r="42" spans="1:33" x14ac:dyDescent="0.2">
      <c r="A42" s="1"/>
      <c r="B42" s="9">
        <v>18</v>
      </c>
      <c r="C42" s="11">
        <v>19</v>
      </c>
      <c r="D42" s="11">
        <v>20</v>
      </c>
      <c r="E42" s="11">
        <v>21</v>
      </c>
      <c r="F42" s="11">
        <v>22</v>
      </c>
      <c r="G42" s="11">
        <v>23</v>
      </c>
      <c r="H42" s="9">
        <v>24</v>
      </c>
      <c r="I42" s="4"/>
      <c r="J42" s="9">
        <v>16</v>
      </c>
      <c r="K42" s="11">
        <v>17</v>
      </c>
      <c r="L42" s="11">
        <v>18</v>
      </c>
      <c r="M42" s="11">
        <v>19</v>
      </c>
      <c r="N42" s="11">
        <v>20</v>
      </c>
      <c r="O42" s="11">
        <v>21</v>
      </c>
      <c r="P42" s="9">
        <v>22</v>
      </c>
      <c r="Q42" s="5"/>
      <c r="R42" s="2">
        <v>17</v>
      </c>
      <c r="S42" s="2" t="s">
        <v>105</v>
      </c>
      <c r="U42" s="2" t="s">
        <v>106</v>
      </c>
    </row>
    <row r="43" spans="1:33" ht="18" customHeight="1" x14ac:dyDescent="0.2">
      <c r="A43" s="1"/>
      <c r="B43" s="9">
        <v>25</v>
      </c>
      <c r="C43" s="11">
        <v>26</v>
      </c>
      <c r="D43" s="11">
        <v>27</v>
      </c>
      <c r="E43" s="11">
        <v>28</v>
      </c>
      <c r="F43" s="11">
        <v>29</v>
      </c>
      <c r="G43" s="11">
        <v>30</v>
      </c>
      <c r="H43" s="132"/>
      <c r="I43" s="4"/>
      <c r="J43" s="9">
        <v>23</v>
      </c>
      <c r="K43" s="11">
        <v>24</v>
      </c>
      <c r="L43" s="12">
        <v>25</v>
      </c>
      <c r="M43" s="12">
        <v>26</v>
      </c>
      <c r="N43" s="12">
        <v>27</v>
      </c>
      <c r="O43" s="12">
        <v>28</v>
      </c>
      <c r="P43" s="12">
        <v>29</v>
      </c>
      <c r="Q43" s="5"/>
      <c r="R43" s="2">
        <v>18</v>
      </c>
      <c r="S43" s="2" t="s">
        <v>107</v>
      </c>
    </row>
    <row r="44" spans="1:33" x14ac:dyDescent="0.2">
      <c r="A44" s="1"/>
      <c r="B44" s="16"/>
      <c r="C44" s="14"/>
      <c r="D44" s="14"/>
      <c r="E44" s="14"/>
      <c r="F44" s="14"/>
      <c r="G44" s="14"/>
      <c r="H44" s="16"/>
      <c r="I44" s="4"/>
      <c r="J44" s="12">
        <v>30</v>
      </c>
      <c r="K44" s="11">
        <v>31</v>
      </c>
      <c r="L44" s="299"/>
      <c r="M44" s="292"/>
      <c r="N44" s="292"/>
      <c r="O44" s="292"/>
      <c r="P44" s="292"/>
      <c r="Q44" s="5"/>
      <c r="R44" s="2">
        <v>19</v>
      </c>
      <c r="S44" s="2" t="s">
        <v>108</v>
      </c>
      <c r="U44" s="133" t="s">
        <v>109</v>
      </c>
    </row>
    <row r="45" spans="1:33" ht="12" customHeight="1" x14ac:dyDescent="0.2">
      <c r="A45" s="1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172"/>
      <c r="AE45" s="51"/>
      <c r="AF45" s="51"/>
    </row>
    <row r="46" spans="1:33" ht="25.5" x14ac:dyDescent="0.2">
      <c r="A46" s="1"/>
      <c r="B46" s="290" t="s">
        <v>15</v>
      </c>
      <c r="C46" s="290"/>
      <c r="D46" s="290"/>
      <c r="E46" s="290"/>
      <c r="F46" s="290"/>
      <c r="G46" s="290"/>
      <c r="H46" s="290"/>
      <c r="I46" s="4"/>
      <c r="J46" s="290" t="s">
        <v>16</v>
      </c>
      <c r="K46" s="290"/>
      <c r="L46" s="290"/>
      <c r="M46" s="290"/>
      <c r="N46" s="290"/>
      <c r="O46" s="290"/>
      <c r="P46" s="290"/>
      <c r="Q46" s="5"/>
      <c r="R46" s="1"/>
      <c r="S46" s="162" t="s">
        <v>45</v>
      </c>
      <c r="T46" s="162" t="s">
        <v>118</v>
      </c>
      <c r="U46" s="162" t="s">
        <v>119</v>
      </c>
      <c r="V46" s="162" t="s">
        <v>120</v>
      </c>
      <c r="W46" s="162" t="s">
        <v>121</v>
      </c>
      <c r="X46" s="162"/>
      <c r="Y46" s="162"/>
      <c r="Z46" s="162" t="s">
        <v>122</v>
      </c>
      <c r="AA46" s="162" t="s">
        <v>130</v>
      </c>
      <c r="AB46" s="162" t="s">
        <v>124</v>
      </c>
      <c r="AC46" s="173" t="s">
        <v>131</v>
      </c>
      <c r="AD46" s="162" t="s">
        <v>123</v>
      </c>
      <c r="AE46" s="162" t="s">
        <v>125</v>
      </c>
      <c r="AF46" s="162" t="s">
        <v>132</v>
      </c>
      <c r="AG46" s="5"/>
    </row>
    <row r="47" spans="1:33" x14ac:dyDescent="0.2">
      <c r="A47" s="1"/>
      <c r="B47" s="6" t="s">
        <v>2</v>
      </c>
      <c r="C47" s="6" t="s">
        <v>3</v>
      </c>
      <c r="D47" s="6" t="s">
        <v>4</v>
      </c>
      <c r="E47" s="6" t="s">
        <v>5</v>
      </c>
      <c r="F47" s="6" t="s">
        <v>4</v>
      </c>
      <c r="G47" s="6" t="s">
        <v>6</v>
      </c>
      <c r="H47" s="6" t="s">
        <v>2</v>
      </c>
      <c r="I47" s="4"/>
      <c r="J47" s="6" t="s">
        <v>2</v>
      </c>
      <c r="K47" s="6" t="s">
        <v>3</v>
      </c>
      <c r="L47" s="6" t="s">
        <v>4</v>
      </c>
      <c r="M47" s="6" t="s">
        <v>5</v>
      </c>
      <c r="N47" s="6" t="s">
        <v>4</v>
      </c>
      <c r="O47" s="6" t="s">
        <v>6</v>
      </c>
      <c r="P47" s="6" t="s">
        <v>2</v>
      </c>
      <c r="Q47" s="5"/>
      <c r="R47" s="1"/>
      <c r="S47" s="171">
        <v>1</v>
      </c>
      <c r="T47" s="171" t="s">
        <v>135</v>
      </c>
      <c r="U47" s="171" t="s">
        <v>136</v>
      </c>
      <c r="V47" s="171" t="s">
        <v>137</v>
      </c>
      <c r="W47" s="171"/>
      <c r="X47" s="171"/>
      <c r="Y47" s="171"/>
      <c r="Z47" s="171" t="s">
        <v>138</v>
      </c>
      <c r="AA47" s="171">
        <v>138</v>
      </c>
      <c r="AB47" s="171" t="s">
        <v>133</v>
      </c>
      <c r="AC47" s="171" t="s">
        <v>134</v>
      </c>
      <c r="AD47" s="171" t="s">
        <v>139</v>
      </c>
      <c r="AE47" s="174"/>
      <c r="AF47" s="171" t="s">
        <v>142</v>
      </c>
      <c r="AG47" s="5"/>
    </row>
    <row r="48" spans="1:33" ht="21" customHeight="1" x14ac:dyDescent="0.2">
      <c r="A48" s="1"/>
      <c r="B48" s="299"/>
      <c r="C48" s="292"/>
      <c r="D48" s="11">
        <v>1</v>
      </c>
      <c r="E48" s="11">
        <v>2</v>
      </c>
      <c r="F48" s="11">
        <v>3</v>
      </c>
      <c r="G48" s="8">
        <v>4</v>
      </c>
      <c r="H48" s="9">
        <v>5</v>
      </c>
      <c r="I48" s="4"/>
      <c r="J48" s="299"/>
      <c r="K48" s="292"/>
      <c r="L48" s="292"/>
      <c r="M48" s="292"/>
      <c r="N48" s="11">
        <v>1</v>
      </c>
      <c r="O48" s="11">
        <v>2</v>
      </c>
      <c r="P48" s="11">
        <v>3</v>
      </c>
      <c r="Q48" s="5"/>
      <c r="R48" s="1"/>
      <c r="S48" s="171">
        <v>2</v>
      </c>
      <c r="T48" s="171" t="s">
        <v>135</v>
      </c>
      <c r="U48" s="171" t="s">
        <v>140</v>
      </c>
      <c r="V48" s="171" t="s">
        <v>137</v>
      </c>
      <c r="W48" s="171"/>
      <c r="X48" s="171"/>
      <c r="Y48" s="171"/>
      <c r="Z48" s="171" t="s">
        <v>141</v>
      </c>
      <c r="AA48" s="171">
        <v>393</v>
      </c>
      <c r="AB48" s="162" t="s">
        <v>133</v>
      </c>
      <c r="AC48" s="171" t="s">
        <v>134</v>
      </c>
      <c r="AD48" s="171" t="s">
        <v>139</v>
      </c>
      <c r="AE48" s="171"/>
      <c r="AF48" s="171" t="s">
        <v>142</v>
      </c>
      <c r="AG48" s="5"/>
    </row>
    <row r="49" spans="1:33" x14ac:dyDescent="0.2">
      <c r="A49" s="1"/>
      <c r="B49" s="9">
        <v>6</v>
      </c>
      <c r="C49" s="11">
        <v>7</v>
      </c>
      <c r="D49" s="11">
        <v>8</v>
      </c>
      <c r="E49" s="11">
        <v>9</v>
      </c>
      <c r="F49" s="11">
        <v>10</v>
      </c>
      <c r="G49" s="11">
        <v>11</v>
      </c>
      <c r="H49" s="9">
        <v>12</v>
      </c>
      <c r="I49" s="4"/>
      <c r="J49" s="9">
        <v>4</v>
      </c>
      <c r="K49" s="11">
        <v>5</v>
      </c>
      <c r="L49" s="11">
        <v>6</v>
      </c>
      <c r="M49" s="11">
        <v>7</v>
      </c>
      <c r="N49" s="11">
        <v>8</v>
      </c>
      <c r="O49" s="11">
        <v>9</v>
      </c>
      <c r="P49" s="9">
        <v>10</v>
      </c>
      <c r="Q49" s="5"/>
      <c r="R49" s="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5"/>
    </row>
    <row r="50" spans="1:33" x14ac:dyDescent="0.2">
      <c r="A50" s="1"/>
      <c r="B50" s="9">
        <v>13</v>
      </c>
      <c r="C50" s="11">
        <v>14</v>
      </c>
      <c r="D50" s="11">
        <v>15</v>
      </c>
      <c r="E50" s="11">
        <v>16</v>
      </c>
      <c r="F50" s="11">
        <v>17</v>
      </c>
      <c r="G50" s="11">
        <v>18</v>
      </c>
      <c r="H50" s="9">
        <v>19</v>
      </c>
      <c r="I50" s="4"/>
      <c r="J50" s="9">
        <v>11</v>
      </c>
      <c r="K50" s="11">
        <v>12</v>
      </c>
      <c r="L50" s="11">
        <v>13</v>
      </c>
      <c r="M50" s="11">
        <v>14</v>
      </c>
      <c r="N50" s="11">
        <v>15</v>
      </c>
      <c r="O50" s="11">
        <v>16</v>
      </c>
      <c r="P50" s="9">
        <v>17</v>
      </c>
      <c r="Q50" s="5"/>
      <c r="R50" s="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5"/>
    </row>
    <row r="51" spans="1:33" x14ac:dyDescent="0.2">
      <c r="A51" s="1"/>
      <c r="B51" s="9">
        <v>20</v>
      </c>
      <c r="C51" s="11">
        <v>21</v>
      </c>
      <c r="D51" s="11">
        <v>22</v>
      </c>
      <c r="E51" s="11">
        <v>23</v>
      </c>
      <c r="F51" s="11">
        <v>24</v>
      </c>
      <c r="G51" s="11">
        <v>25</v>
      </c>
      <c r="H51" s="9">
        <v>26</v>
      </c>
      <c r="I51" s="4"/>
      <c r="J51" s="9">
        <v>18</v>
      </c>
      <c r="K51" s="11">
        <v>19</v>
      </c>
      <c r="L51" s="11">
        <v>20</v>
      </c>
      <c r="M51" s="11">
        <v>21</v>
      </c>
      <c r="N51" s="11">
        <v>22</v>
      </c>
      <c r="O51" s="11">
        <v>23</v>
      </c>
      <c r="P51" s="9">
        <v>24</v>
      </c>
      <c r="Q51" s="5"/>
      <c r="R51" s="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4"/>
      <c r="AD51" s="171"/>
      <c r="AE51" s="171"/>
      <c r="AF51" s="171"/>
      <c r="AG51" s="5"/>
    </row>
    <row r="52" spans="1:33" x14ac:dyDescent="0.2">
      <c r="A52" s="1"/>
      <c r="B52" s="9">
        <v>27</v>
      </c>
      <c r="C52" s="11">
        <v>28</v>
      </c>
      <c r="D52" s="11">
        <v>29</v>
      </c>
      <c r="E52" s="11">
        <v>30</v>
      </c>
      <c r="F52" s="299"/>
      <c r="G52" s="292"/>
      <c r="H52" s="292"/>
      <c r="I52" s="4"/>
      <c r="J52" s="9">
        <v>25</v>
      </c>
      <c r="K52" s="11">
        <v>26</v>
      </c>
      <c r="L52" s="12">
        <v>27</v>
      </c>
      <c r="M52" s="12">
        <v>28</v>
      </c>
      <c r="N52" s="12">
        <v>29</v>
      </c>
      <c r="O52" s="12">
        <v>30</v>
      </c>
      <c r="P52" s="12">
        <v>31</v>
      </c>
      <c r="Q52" s="5"/>
      <c r="R52" s="1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"/>
    </row>
    <row r="53" spans="1:33" x14ac:dyDescent="0.2"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</row>
  </sheetData>
  <mergeCells count="38">
    <mergeCell ref="S21:V21"/>
    <mergeCell ref="Z21:AA21"/>
    <mergeCell ref="X5:Y5"/>
    <mergeCell ref="X6:Y6"/>
    <mergeCell ref="X7:Y7"/>
    <mergeCell ref="S16:S17"/>
    <mergeCell ref="T16:U17"/>
    <mergeCell ref="F52:H52"/>
    <mergeCell ref="B37:H37"/>
    <mergeCell ref="J37:P37"/>
    <mergeCell ref="B48:C48"/>
    <mergeCell ref="J48:M48"/>
    <mergeCell ref="J22:L22"/>
    <mergeCell ref="E26:H26"/>
    <mergeCell ref="O26:P26"/>
    <mergeCell ref="B28:H28"/>
    <mergeCell ref="B46:H46"/>
    <mergeCell ref="J46:P46"/>
    <mergeCell ref="L44:P44"/>
    <mergeCell ref="J28:P28"/>
    <mergeCell ref="B30:F30"/>
    <mergeCell ref="N34:P34"/>
    <mergeCell ref="C35:H35"/>
    <mergeCell ref="B39:E39"/>
    <mergeCell ref="J39:O39"/>
    <mergeCell ref="B12:H12"/>
    <mergeCell ref="J12:P12"/>
    <mergeCell ref="B20:H20"/>
    <mergeCell ref="J20:P20"/>
    <mergeCell ref="B14:C14"/>
    <mergeCell ref="J14:N14"/>
    <mergeCell ref="G18:H18"/>
    <mergeCell ref="B1:P1"/>
    <mergeCell ref="B3:H3"/>
    <mergeCell ref="J3:P3"/>
    <mergeCell ref="B5:F5"/>
    <mergeCell ref="C10:H10"/>
    <mergeCell ref="L9:P9"/>
  </mergeCells>
  <hyperlinks>
    <hyperlink ref="U44" r:id="rId1"/>
  </hyperlinks>
  <printOptions horizontalCentered="1"/>
  <pageMargins left="0.75" right="0.75" top="0.75" bottom="0.5" header="0.5" footer="0.5"/>
  <pageSetup orientation="portrait" horizontalDpi="300" verticalDpi="300" r:id="rId2"/>
  <headerFooter alignWithMargins="0"/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FF00"/>
  </sheetPr>
  <dimension ref="A1:AH67"/>
  <sheetViews>
    <sheetView topLeftCell="A16" workbookViewId="0">
      <selection activeCell="F40" sqref="F40"/>
    </sheetView>
  </sheetViews>
  <sheetFormatPr defaultRowHeight="12.75" x14ac:dyDescent="0.2"/>
  <cols>
    <col min="1" max="1" width="1.28515625" style="2" customWidth="1"/>
    <col min="2" max="8" width="5.140625" style="2" customWidth="1"/>
    <col min="9" max="9" width="5.7109375" style="2" customWidth="1"/>
    <col min="10" max="16" width="5.140625" style="2" customWidth="1"/>
    <col min="17" max="17" width="1.28515625" style="2" customWidth="1"/>
    <col min="18" max="18" width="3" style="2" bestFit="1" customWidth="1"/>
    <col min="19" max="19" width="5.5703125" style="2" customWidth="1"/>
    <col min="20" max="20" width="9.140625" style="2"/>
    <col min="21" max="21" width="9.85546875" style="2" customWidth="1"/>
    <col min="22" max="22" width="9.140625" style="2"/>
    <col min="23" max="25" width="0" style="2" hidden="1" customWidth="1"/>
    <col min="26" max="27" width="9.140625" style="2"/>
    <col min="28" max="28" width="11.28515625" style="2" customWidth="1"/>
    <col min="29" max="29" width="9.7109375" style="2" customWidth="1"/>
    <col min="30" max="30" width="20.5703125" style="2" bestFit="1" customWidth="1"/>
    <col min="31" max="31" width="13.85546875" style="2" customWidth="1"/>
    <col min="32" max="16384" width="9.140625" style="2"/>
  </cols>
  <sheetData>
    <row r="1" spans="1:28" ht="26.1" customHeight="1" x14ac:dyDescent="0.2">
      <c r="A1" s="1"/>
      <c r="B1" s="296">
        <v>2017</v>
      </c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7"/>
      <c r="S1" s="49" t="s">
        <v>126</v>
      </c>
      <c r="AA1" s="1"/>
    </row>
    <row r="2" spans="1:28" ht="13.5" customHeight="1" x14ac:dyDescent="0.25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R2" s="134"/>
      <c r="S2" s="50" t="s">
        <v>25</v>
      </c>
    </row>
    <row r="3" spans="1:28" x14ac:dyDescent="0.2">
      <c r="A3" s="1"/>
      <c r="B3" s="290" t="s">
        <v>0</v>
      </c>
      <c r="C3" s="290"/>
      <c r="D3" s="290"/>
      <c r="E3" s="290"/>
      <c r="F3" s="290"/>
      <c r="G3" s="290"/>
      <c r="H3" s="290"/>
      <c r="I3" s="4"/>
      <c r="J3" s="290" t="s">
        <v>1</v>
      </c>
      <c r="K3" s="290"/>
      <c r="L3" s="290"/>
      <c r="M3" s="290"/>
      <c r="N3" s="290"/>
      <c r="O3" s="290"/>
      <c r="P3" s="290"/>
      <c r="Q3" s="5"/>
      <c r="X3" s="51"/>
      <c r="Y3" s="51"/>
      <c r="Z3" s="51"/>
      <c r="AA3" s="51"/>
    </row>
    <row r="4" spans="1:28" x14ac:dyDescent="0.2">
      <c r="A4" s="1"/>
      <c r="B4" s="6" t="s">
        <v>2</v>
      </c>
      <c r="C4" s="6" t="s">
        <v>3</v>
      </c>
      <c r="D4" s="6" t="s">
        <v>4</v>
      </c>
      <c r="E4" s="6" t="s">
        <v>5</v>
      </c>
      <c r="F4" s="6" t="s">
        <v>4</v>
      </c>
      <c r="G4" s="6" t="s">
        <v>6</v>
      </c>
      <c r="H4" s="6" t="s">
        <v>2</v>
      </c>
      <c r="I4" s="7"/>
      <c r="J4" s="6" t="s">
        <v>2</v>
      </c>
      <c r="K4" s="6" t="s">
        <v>3</v>
      </c>
      <c r="L4" s="6" t="s">
        <v>4</v>
      </c>
      <c r="M4" s="6" t="s">
        <v>5</v>
      </c>
      <c r="N4" s="6" t="s">
        <v>4</v>
      </c>
      <c r="O4" s="6" t="s">
        <v>6</v>
      </c>
      <c r="P4" s="6" t="s">
        <v>2</v>
      </c>
      <c r="Q4" s="5"/>
      <c r="V4" s="1"/>
      <c r="W4" s="1"/>
      <c r="X4" s="52" t="s">
        <v>24</v>
      </c>
      <c r="Y4" s="52"/>
      <c r="Z4" s="53" t="s">
        <v>26</v>
      </c>
      <c r="AA4" s="53" t="s">
        <v>27</v>
      </c>
      <c r="AB4" s="5"/>
    </row>
    <row r="5" spans="1:28" ht="14.25" x14ac:dyDescent="0.2">
      <c r="A5" s="1"/>
      <c r="B5" s="9">
        <v>1</v>
      </c>
      <c r="C5" s="11">
        <v>2</v>
      </c>
      <c r="D5" s="11">
        <v>3</v>
      </c>
      <c r="E5" s="11">
        <v>4</v>
      </c>
      <c r="F5" s="11">
        <v>5</v>
      </c>
      <c r="G5" s="8">
        <v>6</v>
      </c>
      <c r="H5" s="9">
        <v>7</v>
      </c>
      <c r="I5" s="7"/>
      <c r="J5" s="299"/>
      <c r="K5" s="292"/>
      <c r="L5" s="292"/>
      <c r="M5" s="11">
        <v>1</v>
      </c>
      <c r="N5" s="11">
        <v>2</v>
      </c>
      <c r="O5" s="11">
        <v>3</v>
      </c>
      <c r="P5" s="11">
        <v>4</v>
      </c>
      <c r="Q5" s="5"/>
      <c r="S5" s="194" t="s">
        <v>155</v>
      </c>
      <c r="T5" s="40" t="s">
        <v>17</v>
      </c>
      <c r="U5" s="40"/>
      <c r="V5" s="54"/>
      <c r="W5" s="1">
        <f>Z5/2</f>
        <v>0</v>
      </c>
      <c r="X5" s="300">
        <f ca="1">CountCellsByColor(A1:Q52,S5)</f>
        <v>49</v>
      </c>
      <c r="Y5" s="301"/>
      <c r="Z5" s="55"/>
      <c r="AA5" s="55">
        <f ca="1">X5-W5</f>
        <v>49</v>
      </c>
      <c r="AB5" s="5"/>
    </row>
    <row r="6" spans="1:28" ht="14.25" x14ac:dyDescent="0.2">
      <c r="A6" s="1"/>
      <c r="B6" s="9">
        <v>8</v>
      </c>
      <c r="C6" s="11">
        <v>9</v>
      </c>
      <c r="D6" s="11">
        <v>10</v>
      </c>
      <c r="E6" s="11">
        <v>11</v>
      </c>
      <c r="F6" s="11">
        <v>12</v>
      </c>
      <c r="G6" s="11">
        <v>13</v>
      </c>
      <c r="H6" s="9">
        <v>14</v>
      </c>
      <c r="I6" s="7"/>
      <c r="J6" s="9">
        <v>5</v>
      </c>
      <c r="K6" s="11">
        <v>6</v>
      </c>
      <c r="L6" s="11">
        <v>7</v>
      </c>
      <c r="M6" s="11">
        <v>8</v>
      </c>
      <c r="N6" s="11">
        <v>9</v>
      </c>
      <c r="O6" s="11">
        <v>10</v>
      </c>
      <c r="P6" s="9">
        <v>11</v>
      </c>
      <c r="Q6" s="5"/>
      <c r="S6" s="195" t="s">
        <v>39</v>
      </c>
      <c r="T6" s="40" t="s">
        <v>18</v>
      </c>
      <c r="U6" s="40"/>
      <c r="V6" s="54"/>
      <c r="W6" s="1">
        <f t="shared" ref="W6:W14" si="0">Z6/2</f>
        <v>0</v>
      </c>
      <c r="X6" s="300">
        <f ca="1">CountCellsByColor(A1:Q53,S6)</f>
        <v>0</v>
      </c>
      <c r="Y6" s="301"/>
      <c r="Z6" s="55"/>
      <c r="AA6" s="55">
        <f ca="1">X6-W6</f>
        <v>0</v>
      </c>
      <c r="AB6" s="5"/>
    </row>
    <row r="7" spans="1:28" ht="14.25" x14ac:dyDescent="0.2">
      <c r="A7" s="1"/>
      <c r="B7" s="9">
        <v>15</v>
      </c>
      <c r="C7" s="11">
        <v>16</v>
      </c>
      <c r="D7" s="11">
        <v>17</v>
      </c>
      <c r="E7" s="11">
        <v>18</v>
      </c>
      <c r="F7" s="11">
        <v>19</v>
      </c>
      <c r="G7" s="11">
        <v>20</v>
      </c>
      <c r="H7" s="9">
        <v>21</v>
      </c>
      <c r="I7" s="7"/>
      <c r="J7" s="9">
        <v>12</v>
      </c>
      <c r="K7" s="11">
        <v>13</v>
      </c>
      <c r="L7" s="11">
        <v>14</v>
      </c>
      <c r="M7" s="11">
        <v>15</v>
      </c>
      <c r="N7" s="11">
        <v>16</v>
      </c>
      <c r="O7" s="11">
        <v>17</v>
      </c>
      <c r="P7" s="9">
        <v>18</v>
      </c>
      <c r="Q7" s="5"/>
      <c r="S7" s="196"/>
      <c r="T7" s="40" t="s">
        <v>19</v>
      </c>
      <c r="U7" s="40"/>
      <c r="V7" s="54"/>
      <c r="W7" s="1">
        <f t="shared" si="0"/>
        <v>0</v>
      </c>
      <c r="X7" s="300">
        <f ca="1">CountCellsByColor(A1:Q54,S7)</f>
        <v>17</v>
      </c>
      <c r="Y7" s="301"/>
      <c r="Z7" s="55"/>
      <c r="AA7" s="55">
        <f ca="1">X7-W7</f>
        <v>17</v>
      </c>
      <c r="AB7" s="5"/>
    </row>
    <row r="8" spans="1:28" ht="14.25" x14ac:dyDescent="0.2">
      <c r="A8" s="1"/>
      <c r="B8" s="9">
        <v>22</v>
      </c>
      <c r="C8" s="11">
        <v>23</v>
      </c>
      <c r="D8" s="11">
        <v>24</v>
      </c>
      <c r="E8" s="11">
        <v>25</v>
      </c>
      <c r="F8" s="11">
        <v>26</v>
      </c>
      <c r="G8" s="11">
        <v>27</v>
      </c>
      <c r="H8" s="9">
        <v>28</v>
      </c>
      <c r="I8" s="7"/>
      <c r="J8" s="9">
        <v>19</v>
      </c>
      <c r="K8" s="11">
        <v>20</v>
      </c>
      <c r="L8" s="11">
        <v>21</v>
      </c>
      <c r="M8" s="11">
        <v>22</v>
      </c>
      <c r="N8" s="11">
        <v>23</v>
      </c>
      <c r="O8" s="11">
        <v>24</v>
      </c>
      <c r="P8" s="9">
        <v>25</v>
      </c>
      <c r="Q8" s="5"/>
      <c r="S8" s="197" t="s">
        <v>156</v>
      </c>
      <c r="T8" s="198" t="s">
        <v>157</v>
      </c>
      <c r="U8" s="198"/>
      <c r="V8" s="199"/>
      <c r="W8" s="200">
        <f t="shared" si="0"/>
        <v>0</v>
      </c>
      <c r="X8" s="316">
        <f ca="1">CountCellsByColor(A2:Q55,S8)</f>
        <v>0</v>
      </c>
      <c r="Y8" s="317"/>
      <c r="Z8" s="201"/>
      <c r="AA8" s="201">
        <f ca="1">0.34*X8</f>
        <v>0</v>
      </c>
      <c r="AB8" s="5"/>
    </row>
    <row r="9" spans="1:28" ht="14.25" x14ac:dyDescent="0.2">
      <c r="A9" s="1"/>
      <c r="B9" s="11">
        <v>29</v>
      </c>
      <c r="C9" s="11">
        <v>30</v>
      </c>
      <c r="D9" s="11">
        <v>31</v>
      </c>
      <c r="E9" s="299"/>
      <c r="F9" s="292"/>
      <c r="G9" s="292"/>
      <c r="H9" s="292"/>
      <c r="I9" s="13"/>
      <c r="J9" s="12">
        <v>26</v>
      </c>
      <c r="K9" s="11">
        <v>27</v>
      </c>
      <c r="L9" s="11">
        <v>28</v>
      </c>
      <c r="M9" s="318"/>
      <c r="N9" s="307"/>
      <c r="O9" s="307"/>
      <c r="P9" s="305"/>
      <c r="Q9" s="5"/>
      <c r="S9" s="202" t="s">
        <v>158</v>
      </c>
      <c r="T9" s="40" t="s">
        <v>20</v>
      </c>
      <c r="U9" s="40"/>
      <c r="V9" s="54"/>
      <c r="W9" s="1">
        <f t="shared" si="0"/>
        <v>0</v>
      </c>
      <c r="X9" s="56"/>
      <c r="Y9" s="56"/>
      <c r="Z9" s="57"/>
      <c r="AA9" s="57"/>
      <c r="AB9" s="5"/>
    </row>
    <row r="10" spans="1:28" ht="6" customHeight="1" x14ac:dyDescent="0.2">
      <c r="A10" s="1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T10" s="40"/>
      <c r="U10" s="40"/>
      <c r="V10" s="54"/>
      <c r="W10" s="1">
        <f t="shared" si="0"/>
        <v>0</v>
      </c>
      <c r="X10" s="56"/>
      <c r="Y10" s="56"/>
      <c r="Z10" s="57"/>
      <c r="AA10" s="57"/>
      <c r="AB10" s="5"/>
    </row>
    <row r="11" spans="1:28" ht="14.25" x14ac:dyDescent="0.2">
      <c r="A11" s="1"/>
      <c r="B11" s="290" t="s">
        <v>7</v>
      </c>
      <c r="C11" s="290"/>
      <c r="D11" s="290"/>
      <c r="E11" s="290"/>
      <c r="F11" s="290"/>
      <c r="G11" s="290"/>
      <c r="H11" s="290"/>
      <c r="I11" s="4"/>
      <c r="J11" s="290" t="s">
        <v>8</v>
      </c>
      <c r="K11" s="290"/>
      <c r="L11" s="290"/>
      <c r="M11" s="290"/>
      <c r="N11" s="290"/>
      <c r="O11" s="290"/>
      <c r="P11" s="290"/>
      <c r="Q11" s="5"/>
      <c r="S11" s="42"/>
      <c r="T11" s="40"/>
      <c r="U11" s="40"/>
      <c r="V11" s="54"/>
      <c r="W11" s="1">
        <f t="shared" si="0"/>
        <v>0</v>
      </c>
      <c r="X11" s="56"/>
      <c r="Y11" s="56"/>
      <c r="Z11" s="57"/>
      <c r="AA11" s="57"/>
      <c r="AB11" s="5"/>
    </row>
    <row r="12" spans="1:28" ht="14.25" x14ac:dyDescent="0.2">
      <c r="A12" s="1"/>
      <c r="B12" s="6" t="s">
        <v>2</v>
      </c>
      <c r="C12" s="6" t="s">
        <v>3</v>
      </c>
      <c r="D12" s="6" t="s">
        <v>4</v>
      </c>
      <c r="E12" s="6" t="s">
        <v>5</v>
      </c>
      <c r="F12" s="6" t="s">
        <v>4</v>
      </c>
      <c r="G12" s="6" t="s">
        <v>6</v>
      </c>
      <c r="H12" s="6" t="s">
        <v>2</v>
      </c>
      <c r="I12" s="4"/>
      <c r="J12" s="6" t="s">
        <v>2</v>
      </c>
      <c r="K12" s="6" t="s">
        <v>3</v>
      </c>
      <c r="L12" s="6" t="s">
        <v>4</v>
      </c>
      <c r="M12" s="6" t="s">
        <v>5</v>
      </c>
      <c r="N12" s="6" t="s">
        <v>4</v>
      </c>
      <c r="O12" s="6" t="s">
        <v>6</v>
      </c>
      <c r="P12" s="6" t="s">
        <v>2</v>
      </c>
      <c r="Q12" s="5"/>
      <c r="S12" s="43"/>
      <c r="T12" s="40" t="s">
        <v>21</v>
      </c>
      <c r="V12" s="1"/>
      <c r="W12" s="1">
        <f t="shared" si="0"/>
        <v>0</v>
      </c>
      <c r="X12" s="58">
        <f ca="1">CountCellsByColor(B1:R59,S12)</f>
        <v>0</v>
      </c>
      <c r="Y12" s="58"/>
      <c r="Z12" s="55"/>
      <c r="AA12" s="55">
        <f ca="1">X12-W12</f>
        <v>0</v>
      </c>
      <c r="AB12" s="5"/>
    </row>
    <row r="13" spans="1:28" ht="14.25" x14ac:dyDescent="0.2">
      <c r="A13" s="1"/>
      <c r="B13" s="299"/>
      <c r="C13" s="292"/>
      <c r="D13" s="292"/>
      <c r="E13" s="11">
        <v>1</v>
      </c>
      <c r="F13" s="11">
        <v>2</v>
      </c>
      <c r="G13" s="11">
        <v>3</v>
      </c>
      <c r="H13" s="11">
        <v>4</v>
      </c>
      <c r="I13" s="4"/>
      <c r="J13" s="299"/>
      <c r="K13" s="292"/>
      <c r="L13" s="292"/>
      <c r="M13" s="292"/>
      <c r="N13" s="292"/>
      <c r="O13" s="292"/>
      <c r="P13" s="9">
        <v>1</v>
      </c>
      <c r="Q13" s="5"/>
      <c r="S13" s="44"/>
      <c r="T13" s="40" t="s">
        <v>22</v>
      </c>
      <c r="V13" s="1"/>
      <c r="W13" s="1">
        <f t="shared" si="0"/>
        <v>0</v>
      </c>
      <c r="X13" s="58">
        <f ca="1">CountCellsByColor(A1:R60,S13)</f>
        <v>0</v>
      </c>
      <c r="Y13" s="58"/>
      <c r="Z13" s="55"/>
      <c r="AA13" s="55">
        <f ca="1">X13-W13</f>
        <v>0</v>
      </c>
      <c r="AB13" s="5"/>
    </row>
    <row r="14" spans="1:28" x14ac:dyDescent="0.2">
      <c r="A14" s="1"/>
      <c r="B14" s="9">
        <v>5</v>
      </c>
      <c r="C14" s="11">
        <v>6</v>
      </c>
      <c r="D14" s="11">
        <v>7</v>
      </c>
      <c r="E14" s="11">
        <v>8</v>
      </c>
      <c r="F14" s="11">
        <v>9</v>
      </c>
      <c r="G14" s="11">
        <v>10</v>
      </c>
      <c r="H14" s="9">
        <v>11</v>
      </c>
      <c r="I14" s="4"/>
      <c r="J14" s="9">
        <v>2</v>
      </c>
      <c r="K14" s="11">
        <v>3</v>
      </c>
      <c r="L14" s="11">
        <v>4</v>
      </c>
      <c r="M14" s="11">
        <v>5</v>
      </c>
      <c r="N14" s="11">
        <v>6</v>
      </c>
      <c r="O14" s="11">
        <v>7</v>
      </c>
      <c r="P14" s="9">
        <v>8</v>
      </c>
      <c r="Q14" s="5"/>
      <c r="S14" s="135"/>
      <c r="T14" s="2" t="s">
        <v>110</v>
      </c>
      <c r="W14" s="1">
        <f t="shared" si="0"/>
        <v>0</v>
      </c>
      <c r="X14" s="58">
        <f ca="1">CountCellsByColor(A1:R61,S14)</f>
        <v>0</v>
      </c>
      <c r="Y14" s="58"/>
      <c r="Z14" s="58"/>
      <c r="AA14" s="55">
        <f ca="1">X14-W14</f>
        <v>0</v>
      </c>
      <c r="AB14" s="5"/>
    </row>
    <row r="15" spans="1:28" ht="15" thickBot="1" x14ac:dyDescent="0.25">
      <c r="A15" s="1"/>
      <c r="B15" s="9">
        <v>12</v>
      </c>
      <c r="C15" s="11">
        <v>13</v>
      </c>
      <c r="D15" s="11">
        <v>14</v>
      </c>
      <c r="E15" s="11">
        <v>15</v>
      </c>
      <c r="F15" s="11">
        <v>16</v>
      </c>
      <c r="G15" s="11">
        <v>17</v>
      </c>
      <c r="H15" s="9">
        <v>18</v>
      </c>
      <c r="I15" s="4"/>
      <c r="J15" s="9">
        <v>9</v>
      </c>
      <c r="K15" s="11">
        <v>10</v>
      </c>
      <c r="L15" s="11">
        <v>11</v>
      </c>
      <c r="M15" s="11">
        <v>12</v>
      </c>
      <c r="N15" s="11">
        <v>13</v>
      </c>
      <c r="O15" s="11">
        <v>14</v>
      </c>
      <c r="P15" s="9">
        <v>15</v>
      </c>
      <c r="Q15" s="5"/>
      <c r="S15" s="136"/>
      <c r="T15" s="40" t="s">
        <v>111</v>
      </c>
      <c r="W15" s="1">
        <f>Z15/2</f>
        <v>0</v>
      </c>
      <c r="X15" s="58">
        <f ca="1">CountCellsByColor(A1:R62,S15)</f>
        <v>0</v>
      </c>
      <c r="Y15" s="58"/>
      <c r="Z15" s="58"/>
      <c r="AA15" s="55">
        <f ca="1">X15-W15</f>
        <v>0</v>
      </c>
    </row>
    <row r="16" spans="1:28" ht="16.5" thickBot="1" x14ac:dyDescent="0.25">
      <c r="A16" s="1"/>
      <c r="B16" s="9">
        <v>19</v>
      </c>
      <c r="C16" s="11">
        <v>20</v>
      </c>
      <c r="D16" s="11">
        <v>21</v>
      </c>
      <c r="E16" s="11">
        <v>22</v>
      </c>
      <c r="F16" s="11">
        <v>23</v>
      </c>
      <c r="G16" s="11">
        <v>24</v>
      </c>
      <c r="H16" s="9">
        <v>25</v>
      </c>
      <c r="I16" s="4"/>
      <c r="J16" s="9">
        <v>16</v>
      </c>
      <c r="K16" s="11">
        <v>17</v>
      </c>
      <c r="L16" s="11">
        <v>18</v>
      </c>
      <c r="M16" s="11">
        <v>19</v>
      </c>
      <c r="N16" s="11">
        <v>20</v>
      </c>
      <c r="O16" s="11">
        <v>21</v>
      </c>
      <c r="P16" s="9">
        <v>22</v>
      </c>
      <c r="Q16" s="5"/>
      <c r="S16" s="311"/>
      <c r="T16" s="312" t="s">
        <v>23</v>
      </c>
      <c r="U16" s="313"/>
      <c r="W16" s="137">
        <f ca="1">TODAY()</f>
        <v>43081</v>
      </c>
      <c r="X16" s="138" t="e">
        <f ca="1">DATEDIF(W16,Z21,"d")</f>
        <v>#NUM!</v>
      </c>
    </row>
    <row r="17" spans="1:31" ht="13.5" customHeight="1" thickBot="1" x14ac:dyDescent="0.25">
      <c r="A17" s="1"/>
      <c r="B17" s="12">
        <v>26</v>
      </c>
      <c r="C17" s="11">
        <v>27</v>
      </c>
      <c r="D17" s="11">
        <v>28</v>
      </c>
      <c r="E17" s="32">
        <v>29</v>
      </c>
      <c r="F17" s="32">
        <v>30</v>
      </c>
      <c r="G17" s="32">
        <v>31</v>
      </c>
      <c r="H17" s="33"/>
      <c r="I17" s="4"/>
      <c r="J17" s="9">
        <v>23</v>
      </c>
      <c r="K17" s="11">
        <v>24</v>
      </c>
      <c r="L17" s="11">
        <v>25</v>
      </c>
      <c r="M17" s="11">
        <v>26</v>
      </c>
      <c r="N17" s="11">
        <v>27</v>
      </c>
      <c r="O17" s="11">
        <v>28</v>
      </c>
      <c r="P17" s="9">
        <v>29</v>
      </c>
      <c r="Q17" s="5"/>
      <c r="S17" s="303"/>
      <c r="T17" s="314"/>
      <c r="U17" s="315"/>
      <c r="Z17" s="51"/>
      <c r="AA17" s="51"/>
    </row>
    <row r="18" spans="1:31" ht="16.5" thickBot="1" x14ac:dyDescent="0.25">
      <c r="A18" s="1"/>
      <c r="B18" s="34"/>
      <c r="C18" s="35"/>
      <c r="D18" s="35"/>
      <c r="E18" s="31"/>
      <c r="F18" s="31"/>
      <c r="G18" s="31"/>
      <c r="H18" s="36"/>
      <c r="I18" s="37"/>
      <c r="J18" s="9">
        <v>30</v>
      </c>
      <c r="K18" s="299"/>
      <c r="L18" s="292"/>
      <c r="M18" s="292"/>
      <c r="N18" s="292"/>
      <c r="O18" s="292"/>
      <c r="P18" s="292"/>
      <c r="Q18" s="5"/>
      <c r="S18" s="2" t="s">
        <v>162</v>
      </c>
      <c r="Y18" s="1"/>
      <c r="Z18" s="139">
        <v>29.17</v>
      </c>
      <c r="AA18" s="140" t="s">
        <v>113</v>
      </c>
      <c r="AB18" s="5"/>
    </row>
    <row r="19" spans="1:31" ht="13.5" customHeight="1" thickBot="1" x14ac:dyDescent="0.25">
      <c r="A19" s="1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S19" s="2" t="s">
        <v>163</v>
      </c>
      <c r="Y19" s="1"/>
      <c r="Z19" s="141">
        <f>[2]Attendance!$H$48</f>
        <v>282</v>
      </c>
      <c r="AA19" s="140" t="s">
        <v>113</v>
      </c>
      <c r="AB19" s="5"/>
    </row>
    <row r="20" spans="1:31" ht="16.5" thickBot="1" x14ac:dyDescent="0.25">
      <c r="A20" s="1"/>
      <c r="B20" s="290" t="s">
        <v>9</v>
      </c>
      <c r="C20" s="290"/>
      <c r="D20" s="290"/>
      <c r="E20" s="290"/>
      <c r="F20" s="290"/>
      <c r="G20" s="290"/>
      <c r="H20" s="290"/>
      <c r="I20" s="4"/>
      <c r="J20" s="290" t="s">
        <v>10</v>
      </c>
      <c r="K20" s="290"/>
      <c r="L20" s="290"/>
      <c r="M20" s="290"/>
      <c r="N20" s="290"/>
      <c r="O20" s="290"/>
      <c r="P20" s="290"/>
      <c r="Q20" s="5"/>
      <c r="S20" s="142" t="s">
        <v>115</v>
      </c>
      <c r="T20" s="51"/>
      <c r="U20" s="51"/>
      <c r="V20" s="51"/>
      <c r="W20" s="51"/>
      <c r="X20" s="51"/>
      <c r="Y20" s="143"/>
      <c r="Z20" s="144">
        <f ca="1">Z19*0.083-AA5+AA12+Z18+AA15</f>
        <v>3.5760000000000041</v>
      </c>
      <c r="AA20" s="145" t="s">
        <v>113</v>
      </c>
      <c r="AB20" s="5"/>
    </row>
    <row r="21" spans="1:31" ht="16.5" thickBot="1" x14ac:dyDescent="0.25">
      <c r="A21" s="1"/>
      <c r="B21" s="6" t="s">
        <v>2</v>
      </c>
      <c r="C21" s="6" t="s">
        <v>3</v>
      </c>
      <c r="D21" s="6" t="s">
        <v>4</v>
      </c>
      <c r="E21" s="6" t="s">
        <v>5</v>
      </c>
      <c r="F21" s="6" t="s">
        <v>4</v>
      </c>
      <c r="G21" s="6" t="s">
        <v>6</v>
      </c>
      <c r="H21" s="6" t="s">
        <v>2</v>
      </c>
      <c r="I21" s="4"/>
      <c r="J21" s="6" t="s">
        <v>2</v>
      </c>
      <c r="K21" s="6" t="s">
        <v>3</v>
      </c>
      <c r="L21" s="6" t="s">
        <v>4</v>
      </c>
      <c r="M21" s="6" t="s">
        <v>5</v>
      </c>
      <c r="N21" s="6" t="s">
        <v>4</v>
      </c>
      <c r="O21" s="6" t="s">
        <v>6</v>
      </c>
      <c r="P21" s="6" t="s">
        <v>2</v>
      </c>
      <c r="Q21" s="5"/>
      <c r="S21" s="308" t="s">
        <v>116</v>
      </c>
      <c r="T21" s="308"/>
      <c r="U21" s="308"/>
      <c r="V21" s="308"/>
      <c r="W21" s="146"/>
      <c r="X21" s="146"/>
      <c r="Y21" s="147"/>
      <c r="Z21" s="309"/>
      <c r="AA21" s="310"/>
      <c r="AD21" s="148"/>
    </row>
    <row r="22" spans="1:31" ht="16.5" thickBot="1" x14ac:dyDescent="0.25">
      <c r="A22" s="1"/>
      <c r="B22" s="10"/>
      <c r="C22" s="11">
        <v>1</v>
      </c>
      <c r="D22" s="11">
        <v>2</v>
      </c>
      <c r="E22" s="11">
        <v>3</v>
      </c>
      <c r="F22" s="11">
        <v>4</v>
      </c>
      <c r="G22" s="11">
        <v>5</v>
      </c>
      <c r="H22" s="11">
        <v>6</v>
      </c>
      <c r="I22" s="4"/>
      <c r="J22" s="299"/>
      <c r="K22" s="292"/>
      <c r="L22" s="292"/>
      <c r="M22" s="292"/>
      <c r="N22" s="11">
        <v>1</v>
      </c>
      <c r="O22" s="8">
        <v>2</v>
      </c>
      <c r="P22" s="9">
        <v>3</v>
      </c>
      <c r="Q22" s="5"/>
      <c r="S22" s="149" t="s">
        <v>117</v>
      </c>
      <c r="T22" s="150"/>
      <c r="U22" s="151"/>
      <c r="V22" s="152">
        <f>+Z21</f>
        <v>0</v>
      </c>
      <c r="W22" s="153" t="s">
        <v>113</v>
      </c>
      <c r="X22" s="154"/>
      <c r="Y22" s="155"/>
      <c r="Z22" s="156" t="e">
        <f ca="1">X16*0.083+Z20</f>
        <v>#NUM!</v>
      </c>
      <c r="AA22" s="157" t="s">
        <v>113</v>
      </c>
      <c r="AD22" s="158"/>
    </row>
    <row r="23" spans="1:31" x14ac:dyDescent="0.2">
      <c r="A23" s="1"/>
      <c r="B23" s="9">
        <v>7</v>
      </c>
      <c r="C23" s="11">
        <v>8</v>
      </c>
      <c r="D23" s="11">
        <v>9</v>
      </c>
      <c r="E23" s="11">
        <v>10</v>
      </c>
      <c r="F23" s="11">
        <v>11</v>
      </c>
      <c r="G23" s="11">
        <v>12</v>
      </c>
      <c r="H23" s="9">
        <v>13</v>
      </c>
      <c r="I23" s="4"/>
      <c r="J23" s="9">
        <v>4</v>
      </c>
      <c r="K23" s="11">
        <v>5</v>
      </c>
      <c r="L23" s="11">
        <v>6</v>
      </c>
      <c r="M23" s="11">
        <v>7</v>
      </c>
      <c r="N23" s="11">
        <v>8</v>
      </c>
      <c r="O23" s="11">
        <v>9</v>
      </c>
      <c r="P23" s="9">
        <v>10</v>
      </c>
      <c r="Q23" s="5"/>
      <c r="AD23" s="158"/>
    </row>
    <row r="24" spans="1:31" ht="15.75" x14ac:dyDescent="0.25">
      <c r="A24" s="1"/>
      <c r="B24" s="9">
        <v>14</v>
      </c>
      <c r="C24" s="11">
        <v>15</v>
      </c>
      <c r="D24" s="11">
        <v>16</v>
      </c>
      <c r="E24" s="11">
        <v>17</v>
      </c>
      <c r="F24" s="11">
        <v>18</v>
      </c>
      <c r="G24" s="11">
        <v>19</v>
      </c>
      <c r="H24" s="9">
        <v>20</v>
      </c>
      <c r="I24" s="4"/>
      <c r="J24" s="9">
        <v>11</v>
      </c>
      <c r="K24" s="11">
        <v>12</v>
      </c>
      <c r="L24" s="11">
        <v>13</v>
      </c>
      <c r="M24" s="11">
        <v>14</v>
      </c>
      <c r="N24" s="11">
        <v>15</v>
      </c>
      <c r="O24" s="11">
        <v>16</v>
      </c>
      <c r="P24" s="9">
        <v>17</v>
      </c>
      <c r="Q24" s="5"/>
      <c r="S24" s="124"/>
      <c r="Z24" s="17"/>
      <c r="AA24" s="17"/>
      <c r="AD24" s="158"/>
    </row>
    <row r="25" spans="1:31" ht="16.5" thickBot="1" x14ac:dyDescent="0.3">
      <c r="A25" s="1"/>
      <c r="B25" s="9">
        <v>21</v>
      </c>
      <c r="C25" s="11">
        <v>22</v>
      </c>
      <c r="D25" s="11">
        <v>23</v>
      </c>
      <c r="E25" s="11">
        <v>24</v>
      </c>
      <c r="F25" s="11">
        <v>25</v>
      </c>
      <c r="G25" s="11">
        <v>26</v>
      </c>
      <c r="H25" s="9">
        <v>27</v>
      </c>
      <c r="I25" s="4"/>
      <c r="J25" s="9">
        <v>18</v>
      </c>
      <c r="K25" s="11">
        <v>19</v>
      </c>
      <c r="L25" s="11">
        <v>20</v>
      </c>
      <c r="M25" s="11">
        <v>21</v>
      </c>
      <c r="N25" s="11">
        <v>22</v>
      </c>
      <c r="O25" s="11">
        <v>23</v>
      </c>
      <c r="P25" s="9">
        <v>24</v>
      </c>
      <c r="Q25" s="5"/>
      <c r="S25" s="203" t="s">
        <v>159</v>
      </c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172"/>
    </row>
    <row r="26" spans="1:31" x14ac:dyDescent="0.2">
      <c r="A26" s="1"/>
      <c r="B26" s="9">
        <v>28</v>
      </c>
      <c r="C26" s="11">
        <v>29</v>
      </c>
      <c r="D26" s="12">
        <v>30</v>
      </c>
      <c r="E26" s="12">
        <v>31</v>
      </c>
      <c r="F26" s="299"/>
      <c r="G26" s="292"/>
      <c r="H26" s="292"/>
      <c r="I26" s="4"/>
      <c r="J26" s="9">
        <v>25</v>
      </c>
      <c r="K26" s="11">
        <v>26</v>
      </c>
      <c r="L26" s="11">
        <v>27</v>
      </c>
      <c r="M26" s="11">
        <v>28</v>
      </c>
      <c r="N26" s="11">
        <v>29</v>
      </c>
      <c r="O26" s="11">
        <v>30</v>
      </c>
      <c r="P26" s="10"/>
      <c r="Q26" s="5"/>
      <c r="S26" s="204" t="s">
        <v>45</v>
      </c>
      <c r="T26" s="205" t="s">
        <v>118</v>
      </c>
      <c r="U26" s="206" t="s">
        <v>119</v>
      </c>
      <c r="V26" s="206" t="s">
        <v>122</v>
      </c>
      <c r="W26" s="207" t="s">
        <v>121</v>
      </c>
      <c r="X26" s="205"/>
      <c r="Y26" s="205"/>
      <c r="Z26" s="208" t="s">
        <v>120</v>
      </c>
      <c r="AA26" s="208" t="s">
        <v>160</v>
      </c>
      <c r="AB26" s="209" t="s">
        <v>124</v>
      </c>
      <c r="AC26" s="210" t="s">
        <v>131</v>
      </c>
      <c r="AD26" s="211" t="s">
        <v>123</v>
      </c>
      <c r="AE26" s="208" t="s">
        <v>125</v>
      </c>
    </row>
    <row r="27" spans="1:31" ht="10.5" customHeight="1" x14ac:dyDescent="0.2">
      <c r="A27" s="1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S27" s="212">
        <v>1</v>
      </c>
      <c r="T27" s="212" t="s">
        <v>165</v>
      </c>
      <c r="U27" s="212" t="s">
        <v>166</v>
      </c>
      <c r="V27" s="212" t="s">
        <v>167</v>
      </c>
      <c r="W27" s="212"/>
      <c r="X27" s="212"/>
      <c r="Y27" s="212"/>
      <c r="Z27" s="212" t="s">
        <v>168</v>
      </c>
      <c r="AA27" s="212">
        <v>417</v>
      </c>
      <c r="AB27" s="212" t="s">
        <v>169</v>
      </c>
      <c r="AC27" s="212" t="s">
        <v>170</v>
      </c>
      <c r="AD27" s="212" t="s">
        <v>139</v>
      </c>
      <c r="AE27" s="212" t="s">
        <v>176</v>
      </c>
    </row>
    <row r="28" spans="1:31" x14ac:dyDescent="0.2">
      <c r="A28" s="1"/>
      <c r="B28" s="290" t="s">
        <v>11</v>
      </c>
      <c r="C28" s="290"/>
      <c r="D28" s="290"/>
      <c r="E28" s="290"/>
      <c r="F28" s="290"/>
      <c r="G28" s="290"/>
      <c r="H28" s="290"/>
      <c r="I28" s="4"/>
      <c r="J28" s="290" t="s">
        <v>12</v>
      </c>
      <c r="K28" s="290"/>
      <c r="L28" s="290"/>
      <c r="M28" s="290"/>
      <c r="N28" s="290"/>
      <c r="O28" s="290"/>
      <c r="P28" s="290"/>
      <c r="Q28" s="5"/>
      <c r="S28" s="212">
        <v>2</v>
      </c>
      <c r="T28" s="212" t="s">
        <v>171</v>
      </c>
      <c r="U28" s="212" t="s">
        <v>172</v>
      </c>
      <c r="V28" s="212" t="s">
        <v>173</v>
      </c>
      <c r="W28" s="212"/>
      <c r="X28" s="212"/>
      <c r="Y28" s="212"/>
      <c r="Z28" s="212" t="s">
        <v>174</v>
      </c>
      <c r="AA28" s="212">
        <v>157</v>
      </c>
      <c r="AB28" s="212" t="s">
        <v>169</v>
      </c>
      <c r="AC28" s="212" t="s">
        <v>170</v>
      </c>
      <c r="AD28" s="212" t="s">
        <v>139</v>
      </c>
      <c r="AE28" s="212" t="s">
        <v>175</v>
      </c>
    </row>
    <row r="29" spans="1:31" x14ac:dyDescent="0.2">
      <c r="A29" s="1"/>
      <c r="B29" s="6" t="s">
        <v>2</v>
      </c>
      <c r="C29" s="6" t="s">
        <v>3</v>
      </c>
      <c r="D29" s="6" t="s">
        <v>4</v>
      </c>
      <c r="E29" s="6" t="s">
        <v>5</v>
      </c>
      <c r="F29" s="6" t="s">
        <v>4</v>
      </c>
      <c r="G29" s="6" t="s">
        <v>6</v>
      </c>
      <c r="H29" s="6" t="s">
        <v>2</v>
      </c>
      <c r="I29" s="4"/>
      <c r="J29" s="6" t="s">
        <v>2</v>
      </c>
      <c r="K29" s="6" t="s">
        <v>3</v>
      </c>
      <c r="L29" s="6" t="s">
        <v>4</v>
      </c>
      <c r="M29" s="6" t="s">
        <v>5</v>
      </c>
      <c r="N29" s="6" t="s">
        <v>4</v>
      </c>
      <c r="O29" s="6" t="s">
        <v>6</v>
      </c>
      <c r="P29" s="6" t="s">
        <v>2</v>
      </c>
      <c r="Q29" s="5"/>
      <c r="S29" s="213">
        <v>3</v>
      </c>
      <c r="T29" s="213" t="s">
        <v>179</v>
      </c>
      <c r="U29" s="213" t="s">
        <v>180</v>
      </c>
      <c r="V29" s="213" t="s">
        <v>181</v>
      </c>
      <c r="W29" s="213"/>
      <c r="X29" s="213"/>
      <c r="Y29" s="213"/>
      <c r="Z29" s="213" t="s">
        <v>182</v>
      </c>
      <c r="AA29" s="213">
        <v>75</v>
      </c>
      <c r="AB29" s="214" t="s">
        <v>169</v>
      </c>
      <c r="AC29" s="213" t="s">
        <v>183</v>
      </c>
      <c r="AD29" s="213" t="s">
        <v>184</v>
      </c>
      <c r="AE29" s="213" t="s">
        <v>185</v>
      </c>
    </row>
    <row r="30" spans="1:31" x14ac:dyDescent="0.2">
      <c r="A30" s="1"/>
      <c r="B30" s="299"/>
      <c r="C30" s="292"/>
      <c r="D30" s="292"/>
      <c r="E30" s="292"/>
      <c r="F30" s="292"/>
      <c r="G30" s="292"/>
      <c r="H30" s="9">
        <v>1</v>
      </c>
      <c r="I30" s="4"/>
      <c r="J30" s="299"/>
      <c r="K30" s="292"/>
      <c r="L30" s="11">
        <v>1</v>
      </c>
      <c r="M30" s="11">
        <v>2</v>
      </c>
      <c r="N30" s="11">
        <v>3</v>
      </c>
      <c r="O30" s="8">
        <v>4</v>
      </c>
      <c r="P30" s="9">
        <v>5</v>
      </c>
      <c r="Q30" s="5"/>
      <c r="S30" s="212">
        <v>4</v>
      </c>
      <c r="T30" s="212" t="s">
        <v>186</v>
      </c>
      <c r="U30" s="212" t="s">
        <v>187</v>
      </c>
      <c r="V30" s="212" t="s">
        <v>188</v>
      </c>
      <c r="W30" s="212"/>
      <c r="X30" s="212"/>
      <c r="Y30" s="212"/>
      <c r="Z30" s="212" t="s">
        <v>181</v>
      </c>
      <c r="AA30" s="212">
        <v>75</v>
      </c>
      <c r="AB30" s="212" t="s">
        <v>189</v>
      </c>
      <c r="AC30" s="212" t="s">
        <v>190</v>
      </c>
      <c r="AD30" s="212" t="s">
        <v>191</v>
      </c>
      <c r="AE30" s="212"/>
    </row>
    <row r="31" spans="1:31" x14ac:dyDescent="0.2">
      <c r="A31" s="1"/>
      <c r="B31" s="47">
        <v>2</v>
      </c>
      <c r="C31" s="46">
        <v>3</v>
      </c>
      <c r="D31" s="46">
        <v>4</v>
      </c>
      <c r="E31" s="46">
        <v>5</v>
      </c>
      <c r="F31" s="46">
        <v>6</v>
      </c>
      <c r="G31" s="46">
        <v>7</v>
      </c>
      <c r="H31" s="47">
        <v>8</v>
      </c>
      <c r="I31" s="4"/>
      <c r="J31" s="9">
        <v>6</v>
      </c>
      <c r="K31" s="11">
        <v>7</v>
      </c>
      <c r="L31" s="11">
        <v>8</v>
      </c>
      <c r="M31" s="11">
        <v>9</v>
      </c>
      <c r="N31" s="11">
        <v>10</v>
      </c>
      <c r="O31" s="11">
        <v>11</v>
      </c>
      <c r="P31" s="9">
        <v>12</v>
      </c>
      <c r="Q31" s="5"/>
      <c r="S31" s="215"/>
      <c r="T31" s="215"/>
      <c r="U31" s="212"/>
      <c r="V31" s="215"/>
      <c r="W31" s="215"/>
      <c r="X31" s="215"/>
      <c r="Y31" s="215"/>
      <c r="Z31" s="215"/>
      <c r="AA31" s="212"/>
      <c r="AB31" s="212"/>
      <c r="AC31" s="212"/>
      <c r="AD31" s="212"/>
      <c r="AE31" s="212"/>
    </row>
    <row r="32" spans="1:31" x14ac:dyDescent="0.2">
      <c r="A32" s="1"/>
      <c r="B32" s="47">
        <v>9</v>
      </c>
      <c r="C32" s="46">
        <v>10</v>
      </c>
      <c r="D32" s="46">
        <v>11</v>
      </c>
      <c r="E32" s="46">
        <v>12</v>
      </c>
      <c r="F32" s="46">
        <v>13</v>
      </c>
      <c r="G32" s="46">
        <v>14</v>
      </c>
      <c r="H32" s="47">
        <v>15</v>
      </c>
      <c r="I32" s="4"/>
      <c r="J32" s="9">
        <v>13</v>
      </c>
      <c r="K32" s="11">
        <v>14</v>
      </c>
      <c r="L32" s="11">
        <v>15</v>
      </c>
      <c r="M32" s="11">
        <v>16</v>
      </c>
      <c r="N32" s="11">
        <v>17</v>
      </c>
      <c r="O32" s="11">
        <v>18</v>
      </c>
      <c r="P32" s="9">
        <v>19</v>
      </c>
      <c r="Q32" s="5"/>
      <c r="S32" s="212"/>
      <c r="T32" s="215"/>
      <c r="U32" s="212"/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</row>
    <row r="33" spans="1:23" x14ac:dyDescent="0.2">
      <c r="A33" s="1"/>
      <c r="B33" s="47">
        <v>16</v>
      </c>
      <c r="C33" s="46">
        <v>17</v>
      </c>
      <c r="D33" s="46">
        <v>18</v>
      </c>
      <c r="E33" s="46">
        <v>19</v>
      </c>
      <c r="F33" s="11">
        <v>20</v>
      </c>
      <c r="G33" s="11">
        <v>21</v>
      </c>
      <c r="H33" s="9">
        <v>22</v>
      </c>
      <c r="I33" s="4"/>
      <c r="J33" s="9">
        <v>20</v>
      </c>
      <c r="K33" s="11">
        <v>21</v>
      </c>
      <c r="L33" s="11">
        <v>22</v>
      </c>
      <c r="M33" s="11">
        <v>23</v>
      </c>
      <c r="N33" s="11">
        <v>24</v>
      </c>
      <c r="O33" s="11">
        <v>25</v>
      </c>
      <c r="P33" s="9">
        <v>26</v>
      </c>
      <c r="Q33" s="5"/>
    </row>
    <row r="34" spans="1:23" x14ac:dyDescent="0.2">
      <c r="A34" s="1"/>
      <c r="B34" s="9">
        <v>23</v>
      </c>
      <c r="C34" s="11">
        <v>24</v>
      </c>
      <c r="D34" s="11">
        <v>25</v>
      </c>
      <c r="E34" s="11">
        <v>26</v>
      </c>
      <c r="F34" s="11">
        <v>27</v>
      </c>
      <c r="G34" s="11">
        <v>28</v>
      </c>
      <c r="H34" s="9">
        <v>29</v>
      </c>
      <c r="I34" s="4"/>
      <c r="J34" s="9">
        <v>27</v>
      </c>
      <c r="K34" s="11">
        <v>28</v>
      </c>
      <c r="L34" s="11">
        <v>29</v>
      </c>
      <c r="M34" s="11">
        <v>30</v>
      </c>
      <c r="N34" s="11">
        <v>31</v>
      </c>
      <c r="O34" s="299"/>
      <c r="P34" s="292"/>
      <c r="Q34" s="5"/>
    </row>
    <row r="35" spans="1:23" x14ac:dyDescent="0.2">
      <c r="A35" s="1"/>
      <c r="B35" s="9">
        <v>30</v>
      </c>
      <c r="C35" s="27">
        <v>31</v>
      </c>
      <c r="D35" s="306"/>
      <c r="E35" s="307"/>
      <c r="F35" s="307"/>
      <c r="G35" s="307"/>
      <c r="H35" s="305"/>
      <c r="I35" s="38"/>
      <c r="J35" s="31"/>
      <c r="K35" s="31"/>
      <c r="L35" s="31"/>
      <c r="M35" s="31"/>
      <c r="N35" s="31"/>
      <c r="O35" s="31"/>
      <c r="P35" s="31"/>
      <c r="Q35" s="5"/>
      <c r="W35" s="161"/>
    </row>
    <row r="36" spans="1:23" ht="12" customHeight="1" x14ac:dyDescent="0.2">
      <c r="A36" s="1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U36" s="51"/>
    </row>
    <row r="37" spans="1:23" x14ac:dyDescent="0.2">
      <c r="A37" s="1"/>
      <c r="B37" s="290" t="s">
        <v>13</v>
      </c>
      <c r="C37" s="290"/>
      <c r="D37" s="290"/>
      <c r="E37" s="290"/>
      <c r="F37" s="290"/>
      <c r="G37" s="290"/>
      <c r="H37" s="290"/>
      <c r="I37" s="4"/>
      <c r="J37" s="290" t="s">
        <v>14</v>
      </c>
      <c r="K37" s="290"/>
      <c r="L37" s="290"/>
      <c r="M37" s="290"/>
      <c r="N37" s="290"/>
      <c r="O37" s="290"/>
      <c r="P37" s="290"/>
      <c r="Q37" s="5"/>
      <c r="T37" s="1"/>
      <c r="U37" s="128"/>
      <c r="V37" s="5"/>
    </row>
    <row r="38" spans="1:23" x14ac:dyDescent="0.2">
      <c r="A38" s="1"/>
      <c r="B38" s="6" t="s">
        <v>2</v>
      </c>
      <c r="C38" s="6" t="s">
        <v>3</v>
      </c>
      <c r="D38" s="6" t="s">
        <v>4</v>
      </c>
      <c r="E38" s="6" t="s">
        <v>5</v>
      </c>
      <c r="F38" s="6" t="s">
        <v>4</v>
      </c>
      <c r="G38" s="6" t="s">
        <v>6</v>
      </c>
      <c r="H38" s="6" t="s">
        <v>2</v>
      </c>
      <c r="I38" s="4"/>
      <c r="J38" s="6" t="s">
        <v>2</v>
      </c>
      <c r="K38" s="6" t="s">
        <v>3</v>
      </c>
      <c r="L38" s="6" t="s">
        <v>4</v>
      </c>
      <c r="M38" s="6" t="s">
        <v>5</v>
      </c>
      <c r="N38" s="6" t="s">
        <v>4</v>
      </c>
      <c r="O38" s="6" t="s">
        <v>6</v>
      </c>
      <c r="P38" s="6" t="s">
        <v>2</v>
      </c>
      <c r="Q38" s="5"/>
      <c r="T38" s="129"/>
      <c r="U38" s="130"/>
    </row>
    <row r="39" spans="1:23" x14ac:dyDescent="0.2">
      <c r="A39" s="1"/>
      <c r="B39" s="291"/>
      <c r="C39" s="292"/>
      <c r="D39" s="292"/>
      <c r="E39" s="292"/>
      <c r="F39" s="292"/>
      <c r="G39" s="8">
        <v>1</v>
      </c>
      <c r="H39" s="9">
        <v>2</v>
      </c>
      <c r="I39" s="4"/>
      <c r="J39" s="47">
        <v>1</v>
      </c>
      <c r="K39" s="46">
        <v>2</v>
      </c>
      <c r="L39" s="46">
        <v>3</v>
      </c>
      <c r="M39" s="46">
        <v>4</v>
      </c>
      <c r="N39" s="46">
        <v>5</v>
      </c>
      <c r="O39" s="219">
        <v>6</v>
      </c>
      <c r="P39" s="47">
        <v>7</v>
      </c>
      <c r="Q39" s="5"/>
      <c r="T39" s="1"/>
      <c r="U39" s="131"/>
      <c r="V39" s="5"/>
    </row>
    <row r="40" spans="1:23" x14ac:dyDescent="0.2">
      <c r="A40" s="1"/>
      <c r="B40" s="9">
        <v>3</v>
      </c>
      <c r="C40" s="11">
        <v>4</v>
      </c>
      <c r="D40" s="46">
        <v>5</v>
      </c>
      <c r="E40" s="46">
        <v>6</v>
      </c>
      <c r="F40" s="46">
        <v>7</v>
      </c>
      <c r="G40" s="46">
        <v>8</v>
      </c>
      <c r="H40" s="47">
        <v>9</v>
      </c>
      <c r="I40" s="4"/>
      <c r="J40" s="47">
        <v>8</v>
      </c>
      <c r="K40" s="46">
        <v>9</v>
      </c>
      <c r="L40" s="46">
        <v>10</v>
      </c>
      <c r="M40" s="46">
        <v>11</v>
      </c>
      <c r="N40" s="46">
        <v>12</v>
      </c>
      <c r="O40" s="46">
        <v>13</v>
      </c>
      <c r="P40" s="47">
        <v>14</v>
      </c>
      <c r="Q40" s="5"/>
      <c r="T40" s="129"/>
      <c r="U40" s="17"/>
      <c r="V40" s="127"/>
    </row>
    <row r="41" spans="1:23" x14ac:dyDescent="0.2">
      <c r="A41" s="1"/>
      <c r="B41" s="47">
        <v>10</v>
      </c>
      <c r="C41" s="11">
        <v>11</v>
      </c>
      <c r="D41" s="11">
        <v>12</v>
      </c>
      <c r="E41" s="11">
        <v>13</v>
      </c>
      <c r="F41" s="11">
        <v>14</v>
      </c>
      <c r="G41" s="11">
        <v>15</v>
      </c>
      <c r="H41" s="9">
        <v>16</v>
      </c>
      <c r="I41" s="4"/>
      <c r="J41" s="47">
        <v>15</v>
      </c>
      <c r="K41" s="46">
        <v>16</v>
      </c>
      <c r="L41" s="46">
        <v>17</v>
      </c>
      <c r="M41" s="46">
        <v>18</v>
      </c>
      <c r="N41" s="46">
        <v>19</v>
      </c>
      <c r="O41" s="46">
        <v>20</v>
      </c>
      <c r="P41" s="47">
        <v>21</v>
      </c>
      <c r="Q41" s="5"/>
      <c r="T41" s="129"/>
      <c r="U41" s="127"/>
    </row>
    <row r="42" spans="1:23" x14ac:dyDescent="0.2">
      <c r="A42" s="1"/>
      <c r="B42" s="9">
        <v>17</v>
      </c>
      <c r="C42" s="11">
        <v>18</v>
      </c>
      <c r="D42" s="11">
        <v>19</v>
      </c>
      <c r="E42" s="11">
        <v>20</v>
      </c>
      <c r="F42" s="11">
        <v>21</v>
      </c>
      <c r="G42" s="11">
        <v>22</v>
      </c>
      <c r="H42" s="9">
        <v>23</v>
      </c>
      <c r="I42" s="4"/>
      <c r="J42" s="47">
        <v>22</v>
      </c>
      <c r="K42" s="46">
        <v>23</v>
      </c>
      <c r="L42" s="46">
        <v>24</v>
      </c>
      <c r="M42" s="46">
        <v>25</v>
      </c>
      <c r="N42" s="196">
        <v>26</v>
      </c>
      <c r="O42" s="196">
        <v>27</v>
      </c>
      <c r="P42" s="196">
        <v>28</v>
      </c>
      <c r="Q42" s="5"/>
    </row>
    <row r="43" spans="1:23" x14ac:dyDescent="0.2">
      <c r="A43" s="1"/>
      <c r="B43" s="11">
        <v>24</v>
      </c>
      <c r="C43" s="11">
        <v>25</v>
      </c>
      <c r="D43" s="11">
        <v>26</v>
      </c>
      <c r="E43" s="11">
        <v>27</v>
      </c>
      <c r="F43" s="11">
        <v>28</v>
      </c>
      <c r="G43" s="11">
        <v>29</v>
      </c>
      <c r="H43" s="9">
        <v>30</v>
      </c>
      <c r="I43" s="4"/>
      <c r="J43" s="196">
        <v>29</v>
      </c>
      <c r="K43" s="196">
        <v>30</v>
      </c>
      <c r="L43" s="196">
        <v>31</v>
      </c>
      <c r="M43" s="299"/>
      <c r="N43" s="292"/>
      <c r="O43" s="292"/>
      <c r="P43" s="292"/>
      <c r="Q43" s="5"/>
    </row>
    <row r="44" spans="1:23" ht="13.5" customHeight="1" x14ac:dyDescent="0.2">
      <c r="A44" s="1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U44" s="133"/>
    </row>
    <row r="45" spans="1:23" x14ac:dyDescent="0.2">
      <c r="A45" s="1"/>
      <c r="B45" s="290" t="s">
        <v>15</v>
      </c>
      <c r="C45" s="290"/>
      <c r="D45" s="290"/>
      <c r="E45" s="290"/>
      <c r="F45" s="290"/>
      <c r="G45" s="290"/>
      <c r="H45" s="290"/>
      <c r="I45" s="4"/>
      <c r="J45" s="290" t="s">
        <v>16</v>
      </c>
      <c r="K45" s="290"/>
      <c r="L45" s="290"/>
      <c r="M45" s="290"/>
      <c r="N45" s="290"/>
      <c r="O45" s="290"/>
      <c r="P45" s="290"/>
      <c r="Q45" s="5"/>
    </row>
    <row r="46" spans="1:23" x14ac:dyDescent="0.2">
      <c r="A46" s="1"/>
      <c r="B46" s="6" t="s">
        <v>2</v>
      </c>
      <c r="C46" s="6" t="s">
        <v>3</v>
      </c>
      <c r="D46" s="6" t="s">
        <v>4</v>
      </c>
      <c r="E46" s="6" t="s">
        <v>5</v>
      </c>
      <c r="F46" s="6" t="s">
        <v>4</v>
      </c>
      <c r="G46" s="6" t="s">
        <v>6</v>
      </c>
      <c r="H46" s="6" t="s">
        <v>2</v>
      </c>
      <c r="I46" s="4"/>
      <c r="J46" s="6" t="s">
        <v>2</v>
      </c>
      <c r="K46" s="6" t="s">
        <v>3</v>
      </c>
      <c r="L46" s="6" t="s">
        <v>4</v>
      </c>
      <c r="M46" s="6" t="s">
        <v>5</v>
      </c>
      <c r="N46" s="6" t="s">
        <v>4</v>
      </c>
      <c r="O46" s="6" t="s">
        <v>6</v>
      </c>
      <c r="P46" s="6" t="s">
        <v>2</v>
      </c>
      <c r="Q46" s="5"/>
    </row>
    <row r="47" spans="1:23" x14ac:dyDescent="0.2">
      <c r="A47" s="1"/>
      <c r="B47" s="299"/>
      <c r="C47" s="292"/>
      <c r="D47" s="292"/>
      <c r="E47" s="196">
        <v>1</v>
      </c>
      <c r="F47" s="196">
        <v>2</v>
      </c>
      <c r="G47" s="196">
        <v>3</v>
      </c>
      <c r="H47" s="196">
        <v>4</v>
      </c>
      <c r="I47" s="4"/>
      <c r="J47" s="291"/>
      <c r="K47" s="292"/>
      <c r="L47" s="292"/>
      <c r="M47" s="292"/>
      <c r="N47" s="292"/>
      <c r="O47" s="8">
        <v>1</v>
      </c>
      <c r="P47" s="9">
        <v>2</v>
      </c>
      <c r="Q47" s="5"/>
    </row>
    <row r="48" spans="1:23" x14ac:dyDescent="0.2">
      <c r="A48" s="1"/>
      <c r="B48" s="196">
        <v>5</v>
      </c>
      <c r="C48" s="196">
        <v>6</v>
      </c>
      <c r="D48" s="196">
        <v>7</v>
      </c>
      <c r="E48" s="196">
        <v>8</v>
      </c>
      <c r="F48" s="196">
        <v>9</v>
      </c>
      <c r="G48" s="196">
        <v>10</v>
      </c>
      <c r="H48" s="196">
        <v>11</v>
      </c>
      <c r="I48" s="4"/>
      <c r="J48" s="9">
        <v>3</v>
      </c>
      <c r="K48" s="11">
        <v>4</v>
      </c>
      <c r="L48" s="11">
        <v>5</v>
      </c>
      <c r="M48" s="11">
        <v>6</v>
      </c>
      <c r="N48" s="11">
        <v>7</v>
      </c>
      <c r="O48" s="11">
        <v>8</v>
      </c>
      <c r="P48" s="9">
        <v>9</v>
      </c>
      <c r="Q48" s="5"/>
    </row>
    <row r="49" spans="1:34" x14ac:dyDescent="0.2">
      <c r="A49" s="1"/>
      <c r="B49" s="9">
        <v>12</v>
      </c>
      <c r="C49" s="11">
        <v>13</v>
      </c>
      <c r="D49" s="11">
        <v>14</v>
      </c>
      <c r="E49" s="11">
        <v>15</v>
      </c>
      <c r="F49" s="11">
        <v>16</v>
      </c>
      <c r="G49" s="11">
        <v>17</v>
      </c>
      <c r="H49" s="9">
        <v>18</v>
      </c>
      <c r="I49" s="4"/>
      <c r="J49" s="9">
        <v>10</v>
      </c>
      <c r="K49" s="11">
        <v>11</v>
      </c>
      <c r="L49" s="11">
        <v>12</v>
      </c>
      <c r="M49" s="11">
        <v>13</v>
      </c>
      <c r="N49" s="11">
        <v>14</v>
      </c>
      <c r="O49" s="11">
        <v>15</v>
      </c>
      <c r="P49" s="9">
        <v>16</v>
      </c>
      <c r="Q49" s="5"/>
    </row>
    <row r="50" spans="1:34" x14ac:dyDescent="0.2">
      <c r="A50" s="1"/>
      <c r="B50" s="9">
        <v>19</v>
      </c>
      <c r="C50" s="11">
        <v>20</v>
      </c>
      <c r="D50" s="11">
        <v>21</v>
      </c>
      <c r="E50" s="11">
        <v>22</v>
      </c>
      <c r="F50" s="11">
        <v>23</v>
      </c>
      <c r="G50" s="11">
        <v>24</v>
      </c>
      <c r="H50" s="9">
        <v>25</v>
      </c>
      <c r="I50" s="4"/>
      <c r="J50" s="9">
        <v>17</v>
      </c>
      <c r="K50" s="11">
        <v>18</v>
      </c>
      <c r="L50" s="11">
        <v>19</v>
      </c>
      <c r="M50" s="11">
        <v>20</v>
      </c>
      <c r="N50" s="11">
        <v>21</v>
      </c>
      <c r="O50" s="11">
        <v>22</v>
      </c>
      <c r="P50" s="9">
        <v>23</v>
      </c>
      <c r="Q50" s="5"/>
    </row>
    <row r="51" spans="1:34" x14ac:dyDescent="0.2">
      <c r="A51" s="1"/>
      <c r="B51" s="12">
        <v>26</v>
      </c>
      <c r="C51" s="11">
        <v>27</v>
      </c>
      <c r="D51" s="11">
        <v>28</v>
      </c>
      <c r="E51" s="32">
        <v>29</v>
      </c>
      <c r="F51" s="32">
        <v>30</v>
      </c>
      <c r="G51" s="293"/>
      <c r="H51" s="305"/>
      <c r="I51" s="4"/>
      <c r="J51" s="11">
        <v>24</v>
      </c>
      <c r="K51" s="11">
        <v>25</v>
      </c>
      <c r="L51" s="11">
        <v>26</v>
      </c>
      <c r="M51" s="11">
        <v>27</v>
      </c>
      <c r="N51" s="11">
        <v>28</v>
      </c>
      <c r="O51" s="11">
        <v>29</v>
      </c>
      <c r="P51" s="9">
        <v>30</v>
      </c>
      <c r="Q51" s="5"/>
    </row>
    <row r="52" spans="1:34" x14ac:dyDescent="0.2">
      <c r="B52" s="20"/>
      <c r="C52" s="20"/>
      <c r="D52" s="20"/>
      <c r="E52" s="20"/>
      <c r="F52" s="20"/>
      <c r="G52" s="20"/>
      <c r="H52" s="20"/>
      <c r="I52" s="21"/>
      <c r="J52" s="9">
        <v>31</v>
      </c>
      <c r="K52" s="293"/>
      <c r="L52" s="307"/>
      <c r="M52" s="307"/>
      <c r="N52" s="307"/>
      <c r="O52" s="307"/>
      <c r="P52" s="305"/>
      <c r="Q52" s="5"/>
    </row>
    <row r="53" spans="1:34" x14ac:dyDescent="0.2">
      <c r="J53" s="17"/>
      <c r="K53" s="17"/>
      <c r="L53" s="17"/>
      <c r="M53" s="17"/>
      <c r="N53" s="17"/>
      <c r="O53" s="17"/>
      <c r="P53" s="17"/>
    </row>
    <row r="54" spans="1:34" x14ac:dyDescent="0.2">
      <c r="M54" s="216"/>
      <c r="N54" s="216"/>
      <c r="O54" s="217"/>
      <c r="P54" s="217"/>
      <c r="Q54" s="217"/>
      <c r="R54" s="217"/>
      <c r="AF54" s="217"/>
      <c r="AG54" s="217"/>
      <c r="AH54" s="216"/>
    </row>
    <row r="55" spans="1:34" x14ac:dyDescent="0.2">
      <c r="M55" s="216"/>
      <c r="N55" s="218"/>
      <c r="O55" s="56"/>
      <c r="P55" s="56"/>
      <c r="Q55" s="56"/>
      <c r="R55" s="56"/>
      <c r="S55" s="57"/>
      <c r="T55" s="56"/>
      <c r="U55" s="57"/>
      <c r="V55" s="56"/>
      <c r="W55" s="56"/>
      <c r="X55" s="56"/>
      <c r="Y55" s="56"/>
      <c r="Z55" s="56"/>
      <c r="AA55" s="57"/>
      <c r="AB55" s="57"/>
      <c r="AC55" s="57"/>
      <c r="AD55" s="57"/>
      <c r="AE55" s="57"/>
      <c r="AF55" s="56"/>
      <c r="AG55" s="56"/>
      <c r="AH55" s="216"/>
    </row>
    <row r="56" spans="1:34" x14ac:dyDescent="0.2">
      <c r="M56" s="216"/>
      <c r="N56" s="218"/>
      <c r="O56" s="56"/>
      <c r="P56" s="56"/>
      <c r="Q56" s="56"/>
      <c r="R56" s="56"/>
      <c r="S56" s="57"/>
      <c r="T56" s="56"/>
      <c r="U56" s="57"/>
      <c r="V56" s="56"/>
      <c r="W56" s="56"/>
      <c r="X56" s="56"/>
      <c r="Y56" s="56"/>
      <c r="Z56" s="56"/>
      <c r="AA56" s="57"/>
      <c r="AB56" s="57"/>
      <c r="AC56" s="57"/>
      <c r="AD56" s="57"/>
      <c r="AE56" s="57"/>
      <c r="AF56" s="56"/>
      <c r="AG56" s="56"/>
      <c r="AH56" s="216"/>
    </row>
    <row r="57" spans="1:34" x14ac:dyDescent="0.2">
      <c r="M57" s="216"/>
      <c r="N57" s="218"/>
      <c r="O57" s="56"/>
      <c r="P57" s="56"/>
      <c r="Q57" s="56"/>
      <c r="R57" s="56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6"/>
      <c r="AG57" s="56"/>
      <c r="AH57" s="216"/>
    </row>
    <row r="58" spans="1:34" x14ac:dyDescent="0.2">
      <c r="M58" s="216"/>
      <c r="N58" s="218"/>
      <c r="O58" s="56"/>
      <c r="P58" s="56"/>
      <c r="Q58" s="56"/>
      <c r="R58" s="56"/>
      <c r="S58" s="57"/>
      <c r="T58" s="56"/>
      <c r="U58" s="57"/>
      <c r="V58" s="56"/>
      <c r="W58" s="56"/>
      <c r="X58" s="56"/>
      <c r="Y58" s="56"/>
      <c r="Z58" s="56"/>
      <c r="AA58" s="57"/>
      <c r="AB58" s="57"/>
      <c r="AC58" s="57"/>
      <c r="AD58" s="57"/>
      <c r="AE58" s="56"/>
      <c r="AF58" s="56"/>
      <c r="AG58" s="56"/>
      <c r="AH58" s="216"/>
    </row>
    <row r="59" spans="1:34" x14ac:dyDescent="0.2">
      <c r="M59" s="216"/>
      <c r="N59" s="218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216"/>
    </row>
    <row r="60" spans="1:34" x14ac:dyDescent="0.2">
      <c r="M60" s="216"/>
      <c r="N60" s="218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216"/>
    </row>
    <row r="61" spans="1:34" x14ac:dyDescent="0.2">
      <c r="M61" s="216"/>
      <c r="N61" s="218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216"/>
    </row>
    <row r="62" spans="1:34" x14ac:dyDescent="0.2">
      <c r="M62" s="216"/>
      <c r="N62" s="218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216"/>
    </row>
    <row r="63" spans="1:34" x14ac:dyDescent="0.2">
      <c r="M63" s="216"/>
      <c r="N63" s="218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216"/>
    </row>
    <row r="64" spans="1:34" x14ac:dyDescent="0.2">
      <c r="M64" s="216"/>
      <c r="N64" s="218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216"/>
    </row>
    <row r="65" spans="13:34" x14ac:dyDescent="0.2">
      <c r="M65" s="216"/>
      <c r="N65" s="216"/>
      <c r="O65" s="216"/>
      <c r="P65" s="216"/>
      <c r="Q65" s="216"/>
      <c r="R65" s="216"/>
      <c r="S65" s="216"/>
      <c r="T65" s="216"/>
      <c r="U65" s="216"/>
      <c r="V65" s="216"/>
      <c r="W65" s="216"/>
      <c r="X65" s="216"/>
      <c r="Y65" s="216"/>
      <c r="Z65" s="216"/>
      <c r="AA65" s="216"/>
      <c r="AB65" s="216"/>
      <c r="AC65" s="216"/>
      <c r="AD65" s="216"/>
      <c r="AE65" s="216"/>
      <c r="AF65" s="216"/>
      <c r="AG65" s="216"/>
      <c r="AH65" s="216"/>
    </row>
    <row r="66" spans="13:34" x14ac:dyDescent="0.2">
      <c r="M66" s="216"/>
      <c r="N66" s="216"/>
      <c r="O66" s="216"/>
      <c r="P66" s="216"/>
      <c r="Q66" s="216"/>
      <c r="R66" s="216"/>
      <c r="S66" s="216"/>
      <c r="T66" s="216"/>
      <c r="U66" s="216"/>
      <c r="V66" s="216"/>
      <c r="W66" s="216"/>
      <c r="X66" s="216"/>
      <c r="Y66" s="216"/>
      <c r="Z66" s="216"/>
      <c r="AA66" s="216"/>
      <c r="AB66" s="216"/>
      <c r="AC66" s="216"/>
      <c r="AD66" s="216"/>
      <c r="AE66" s="216"/>
      <c r="AF66" s="216"/>
      <c r="AG66" s="216"/>
      <c r="AH66" s="216"/>
    </row>
    <row r="67" spans="13:34" x14ac:dyDescent="0.2">
      <c r="M67" s="216"/>
      <c r="N67" s="216"/>
      <c r="O67" s="216"/>
      <c r="P67" s="216"/>
      <c r="Q67" s="216"/>
      <c r="R67" s="216"/>
      <c r="S67" s="216"/>
      <c r="T67" s="216"/>
      <c r="U67" s="216"/>
      <c r="V67" s="216"/>
      <c r="W67" s="216"/>
      <c r="X67" s="216"/>
      <c r="Y67" s="216"/>
      <c r="Z67" s="216"/>
      <c r="AA67" s="216"/>
      <c r="AB67" s="216"/>
      <c r="AC67" s="216"/>
      <c r="AD67" s="216"/>
      <c r="AE67" s="216"/>
      <c r="AF67" s="216"/>
      <c r="AG67" s="216"/>
      <c r="AH67" s="216"/>
    </row>
  </sheetData>
  <mergeCells count="39">
    <mergeCell ref="G51:H51"/>
    <mergeCell ref="J47:N47"/>
    <mergeCell ref="O34:P34"/>
    <mergeCell ref="K52:P52"/>
    <mergeCell ref="D35:H35"/>
    <mergeCell ref="B39:F39"/>
    <mergeCell ref="M43:P43"/>
    <mergeCell ref="B45:H45"/>
    <mergeCell ref="J45:P45"/>
    <mergeCell ref="B47:D47"/>
    <mergeCell ref="B37:H37"/>
    <mergeCell ref="J37:P37"/>
    <mergeCell ref="B1:P1"/>
    <mergeCell ref="B3:H3"/>
    <mergeCell ref="J3:P3"/>
    <mergeCell ref="J5:L5"/>
    <mergeCell ref="E9:H9"/>
    <mergeCell ref="M9:P9"/>
    <mergeCell ref="B11:H11"/>
    <mergeCell ref="J11:P11"/>
    <mergeCell ref="B20:H20"/>
    <mergeCell ref="J20:P20"/>
    <mergeCell ref="J30:K30"/>
    <mergeCell ref="B13:D13"/>
    <mergeCell ref="J13:O13"/>
    <mergeCell ref="K18:P18"/>
    <mergeCell ref="B28:H28"/>
    <mergeCell ref="J28:P28"/>
    <mergeCell ref="F26:H26"/>
    <mergeCell ref="J22:M22"/>
    <mergeCell ref="B30:G30"/>
    <mergeCell ref="S21:V21"/>
    <mergeCell ref="Z21:AA21"/>
    <mergeCell ref="X8:Y8"/>
    <mergeCell ref="X5:Y5"/>
    <mergeCell ref="X6:Y6"/>
    <mergeCell ref="X7:Y7"/>
    <mergeCell ref="S16:S17"/>
    <mergeCell ref="T16:U17"/>
  </mergeCells>
  <hyperlinks>
    <hyperlink ref="S5" r:id="rId1"/>
    <hyperlink ref="S6" r:id="rId2"/>
    <hyperlink ref="S8" r:id="rId3"/>
    <hyperlink ref="S9" r:id="rId4"/>
  </hyperlinks>
  <printOptions horizontalCentered="1"/>
  <pageMargins left="0.75" right="0.75" top="0.75" bottom="0.5" header="0.5" footer="0.5"/>
  <pageSetup orientation="portrait" horizontalDpi="300" verticalDpi="300" r:id="rId5"/>
  <headerFooter alignWithMargins="0"/>
  <drawing r:id="rId6"/>
  <legacy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AE55"/>
  <sheetViews>
    <sheetView tabSelected="1" workbookViewId="0">
      <selection activeCell="Z33" sqref="Z33"/>
    </sheetView>
  </sheetViews>
  <sheetFormatPr defaultRowHeight="12.75" x14ac:dyDescent="0.2"/>
  <cols>
    <col min="1" max="1" width="1.28515625" style="2" customWidth="1"/>
    <col min="2" max="8" width="5.140625" style="2" customWidth="1"/>
    <col min="9" max="9" width="5.7109375" style="2" customWidth="1"/>
    <col min="10" max="16" width="5.140625" style="2" customWidth="1"/>
    <col min="17" max="17" width="1.28515625" style="2" customWidth="1"/>
    <col min="18" max="18" width="3.7109375" style="2" customWidth="1"/>
    <col min="19" max="19" width="5.85546875" style="2" customWidth="1"/>
    <col min="20" max="22" width="9.140625" style="2"/>
    <col min="23" max="25" width="0" style="2" hidden="1" customWidth="1"/>
    <col min="26" max="16384" width="9.140625" style="2"/>
  </cols>
  <sheetData>
    <row r="1" spans="1:28" ht="26.1" customHeight="1" x14ac:dyDescent="0.2">
      <c r="A1" s="1"/>
      <c r="B1" s="296">
        <v>2018</v>
      </c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7"/>
      <c r="S1" s="49" t="s">
        <v>126</v>
      </c>
      <c r="AA1" s="1"/>
    </row>
    <row r="2" spans="1:28" ht="15.75" customHeight="1" x14ac:dyDescent="0.25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R2" s="134"/>
      <c r="S2" s="50" t="s">
        <v>25</v>
      </c>
    </row>
    <row r="3" spans="1:28" x14ac:dyDescent="0.2">
      <c r="A3" s="1"/>
      <c r="B3" s="290" t="s">
        <v>0</v>
      </c>
      <c r="C3" s="290"/>
      <c r="D3" s="290"/>
      <c r="E3" s="290"/>
      <c r="F3" s="290"/>
      <c r="G3" s="290"/>
      <c r="H3" s="290"/>
      <c r="I3" s="4"/>
      <c r="J3" s="290" t="s">
        <v>1</v>
      </c>
      <c r="K3" s="290"/>
      <c r="L3" s="290"/>
      <c r="M3" s="290"/>
      <c r="N3" s="290"/>
      <c r="O3" s="290"/>
      <c r="P3" s="290"/>
      <c r="Q3" s="5"/>
      <c r="X3" s="51"/>
      <c r="Y3" s="51"/>
      <c r="Z3" s="51"/>
      <c r="AA3" s="51"/>
    </row>
    <row r="4" spans="1:28" x14ac:dyDescent="0.2">
      <c r="A4" s="1"/>
      <c r="B4" s="6" t="s">
        <v>2</v>
      </c>
      <c r="C4" s="6" t="s">
        <v>3</v>
      </c>
      <c r="D4" s="6" t="s">
        <v>4</v>
      </c>
      <c r="E4" s="6" t="s">
        <v>5</v>
      </c>
      <c r="F4" s="6" t="s">
        <v>4</v>
      </c>
      <c r="G4" s="6" t="s">
        <v>6</v>
      </c>
      <c r="H4" s="6" t="s">
        <v>2</v>
      </c>
      <c r="I4" s="7"/>
      <c r="J4" s="6" t="s">
        <v>2</v>
      </c>
      <c r="K4" s="6" t="s">
        <v>3</v>
      </c>
      <c r="L4" s="6" t="s">
        <v>4</v>
      </c>
      <c r="M4" s="6" t="s">
        <v>5</v>
      </c>
      <c r="N4" s="6" t="s">
        <v>4</v>
      </c>
      <c r="O4" s="6" t="s">
        <v>6</v>
      </c>
      <c r="P4" s="6" t="s">
        <v>2</v>
      </c>
      <c r="Q4" s="5"/>
      <c r="V4" s="1"/>
      <c r="W4" s="1"/>
      <c r="X4" s="52" t="s">
        <v>24</v>
      </c>
      <c r="Y4" s="52"/>
      <c r="Z4" s="53" t="s">
        <v>26</v>
      </c>
      <c r="AA4" s="53" t="s">
        <v>27</v>
      </c>
      <c r="AB4" s="5"/>
    </row>
    <row r="5" spans="1:28" ht="14.25" x14ac:dyDescent="0.2">
      <c r="A5" s="1"/>
      <c r="B5" s="10"/>
      <c r="C5" s="11">
        <v>1</v>
      </c>
      <c r="D5" s="11">
        <v>2</v>
      </c>
      <c r="E5" s="11">
        <v>3</v>
      </c>
      <c r="F5" s="11">
        <v>4</v>
      </c>
      <c r="G5" s="11">
        <v>5</v>
      </c>
      <c r="H5" s="11">
        <v>6</v>
      </c>
      <c r="I5" s="7"/>
      <c r="J5" s="299"/>
      <c r="K5" s="292"/>
      <c r="L5" s="292"/>
      <c r="M5" s="292"/>
      <c r="N5" s="11">
        <v>1</v>
      </c>
      <c r="O5" s="8">
        <v>2</v>
      </c>
      <c r="P5" s="9">
        <v>3</v>
      </c>
      <c r="Q5" s="5"/>
      <c r="S5" s="194" t="s">
        <v>155</v>
      </c>
      <c r="T5" s="40" t="s">
        <v>17</v>
      </c>
      <c r="U5" s="40"/>
      <c r="V5" s="54"/>
      <c r="W5" s="1">
        <f>Z5/2</f>
        <v>0</v>
      </c>
      <c r="X5" s="300">
        <f ca="1">CountCellsByColor(A1:Q52,S5)</f>
        <v>0</v>
      </c>
      <c r="Y5" s="301"/>
      <c r="Z5" s="55"/>
      <c r="AA5" s="55">
        <f ca="1">X5-W5</f>
        <v>0</v>
      </c>
      <c r="AB5" s="5"/>
    </row>
    <row r="6" spans="1:28" ht="14.25" x14ac:dyDescent="0.2">
      <c r="A6" s="1"/>
      <c r="B6" s="9">
        <v>7</v>
      </c>
      <c r="C6" s="11">
        <v>8</v>
      </c>
      <c r="D6" s="11">
        <v>9</v>
      </c>
      <c r="E6" s="11">
        <v>10</v>
      </c>
      <c r="F6" s="11">
        <v>11</v>
      </c>
      <c r="G6" s="11">
        <v>12</v>
      </c>
      <c r="H6" s="9">
        <v>13</v>
      </c>
      <c r="I6" s="7"/>
      <c r="J6" s="9">
        <v>4</v>
      </c>
      <c r="K6" s="11">
        <v>5</v>
      </c>
      <c r="L6" s="11">
        <v>6</v>
      </c>
      <c r="M6" s="11">
        <v>7</v>
      </c>
      <c r="N6" s="11">
        <v>8</v>
      </c>
      <c r="O6" s="11">
        <v>9</v>
      </c>
      <c r="P6" s="9">
        <v>10</v>
      </c>
      <c r="Q6" s="5"/>
      <c r="S6" s="195" t="s">
        <v>39</v>
      </c>
      <c r="T6" s="40" t="s">
        <v>18</v>
      </c>
      <c r="U6" s="40"/>
      <c r="V6" s="54"/>
      <c r="W6" s="1">
        <f t="shared" ref="W6:W14" si="0">Z6/2</f>
        <v>0</v>
      </c>
      <c r="X6" s="300">
        <f ca="1">CountCellsByColor(A1:Q53,S6)</f>
        <v>0</v>
      </c>
      <c r="Y6" s="301"/>
      <c r="Z6" s="55"/>
      <c r="AA6" s="55">
        <f ca="1">X6-W6</f>
        <v>0</v>
      </c>
      <c r="AB6" s="5"/>
    </row>
    <row r="7" spans="1:28" ht="14.25" x14ac:dyDescent="0.2">
      <c r="A7" s="1"/>
      <c r="B7" s="9">
        <v>14</v>
      </c>
      <c r="C7" s="11">
        <v>15</v>
      </c>
      <c r="D7" s="11">
        <v>16</v>
      </c>
      <c r="E7" s="11">
        <v>17</v>
      </c>
      <c r="F7" s="11">
        <v>18</v>
      </c>
      <c r="G7" s="11">
        <v>19</v>
      </c>
      <c r="H7" s="9">
        <v>20</v>
      </c>
      <c r="I7" s="7"/>
      <c r="J7" s="9">
        <v>11</v>
      </c>
      <c r="K7" s="11">
        <v>12</v>
      </c>
      <c r="L7" s="11">
        <v>13</v>
      </c>
      <c r="M7" s="11">
        <v>14</v>
      </c>
      <c r="N7" s="11">
        <v>15</v>
      </c>
      <c r="O7" s="11">
        <v>16</v>
      </c>
      <c r="P7" s="9">
        <v>17</v>
      </c>
      <c r="Q7" s="5"/>
      <c r="S7" s="196"/>
      <c r="T7" s="40" t="s">
        <v>19</v>
      </c>
      <c r="U7" s="40"/>
      <c r="V7" s="54"/>
      <c r="W7" s="1">
        <f t="shared" si="0"/>
        <v>0</v>
      </c>
      <c r="X7" s="300">
        <f ca="1">CountCellsByColor(A1:Q54,S7)</f>
        <v>0</v>
      </c>
      <c r="Y7" s="301"/>
      <c r="Z7" s="55"/>
      <c r="AA7" s="55">
        <f ca="1">X7-W7</f>
        <v>0</v>
      </c>
      <c r="AB7" s="5"/>
    </row>
    <row r="8" spans="1:28" ht="14.25" x14ac:dyDescent="0.2">
      <c r="A8" s="1"/>
      <c r="B8" s="9">
        <v>21</v>
      </c>
      <c r="C8" s="11">
        <v>22</v>
      </c>
      <c r="D8" s="11">
        <v>23</v>
      </c>
      <c r="E8" s="11">
        <v>24</v>
      </c>
      <c r="F8" s="11">
        <v>25</v>
      </c>
      <c r="G8" s="11">
        <v>26</v>
      </c>
      <c r="H8" s="9">
        <v>27</v>
      </c>
      <c r="I8" s="7"/>
      <c r="J8" s="9">
        <v>18</v>
      </c>
      <c r="K8" s="11">
        <v>19</v>
      </c>
      <c r="L8" s="11">
        <v>20</v>
      </c>
      <c r="M8" s="11">
        <v>21</v>
      </c>
      <c r="N8" s="11">
        <v>22</v>
      </c>
      <c r="O8" s="11">
        <v>23</v>
      </c>
      <c r="P8" s="9">
        <v>24</v>
      </c>
      <c r="Q8" s="5"/>
      <c r="S8" s="197" t="s">
        <v>156</v>
      </c>
      <c r="T8" s="198" t="s">
        <v>157</v>
      </c>
      <c r="U8" s="198"/>
      <c r="V8" s="199"/>
      <c r="W8" s="200">
        <f t="shared" si="0"/>
        <v>0</v>
      </c>
      <c r="X8" s="316">
        <f ca="1">CountCellsByColor(A2:Q55,S8)</f>
        <v>0</v>
      </c>
      <c r="Y8" s="317"/>
      <c r="Z8" s="201"/>
      <c r="AA8" s="201">
        <f ca="1">0.34*X8</f>
        <v>0</v>
      </c>
      <c r="AB8" s="5"/>
    </row>
    <row r="9" spans="1:28" ht="14.25" x14ac:dyDescent="0.2">
      <c r="A9" s="1"/>
      <c r="B9" s="9">
        <v>28</v>
      </c>
      <c r="C9" s="11">
        <v>29</v>
      </c>
      <c r="D9" s="12">
        <v>30</v>
      </c>
      <c r="E9" s="12">
        <v>31</v>
      </c>
      <c r="F9" s="299"/>
      <c r="G9" s="292"/>
      <c r="H9" s="292"/>
      <c r="I9" s="13"/>
      <c r="J9" s="9">
        <v>25</v>
      </c>
      <c r="K9" s="11">
        <v>26</v>
      </c>
      <c r="L9" s="11">
        <v>27</v>
      </c>
      <c r="M9" s="11">
        <v>28</v>
      </c>
      <c r="N9" s="293"/>
      <c r="O9" s="307"/>
      <c r="P9" s="305"/>
      <c r="Q9" s="5"/>
      <c r="S9" s="202" t="s">
        <v>158</v>
      </c>
      <c r="T9" s="40" t="s">
        <v>20</v>
      </c>
      <c r="U9" s="40"/>
      <c r="V9" s="54"/>
      <c r="W9" s="1">
        <f t="shared" si="0"/>
        <v>0</v>
      </c>
      <c r="X9" s="56"/>
      <c r="Y9" s="56"/>
      <c r="Z9" s="57"/>
      <c r="AA9" s="57"/>
      <c r="AB9" s="5"/>
    </row>
    <row r="10" spans="1:28" ht="6" customHeight="1" x14ac:dyDescent="0.2">
      <c r="A10" s="1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T10" s="40"/>
      <c r="U10" s="40"/>
      <c r="V10" s="54"/>
      <c r="W10" s="1">
        <f t="shared" si="0"/>
        <v>0</v>
      </c>
      <c r="X10" s="56"/>
      <c r="Y10" s="56"/>
      <c r="Z10" s="57"/>
      <c r="AA10" s="57"/>
      <c r="AB10" s="5"/>
    </row>
    <row r="11" spans="1:28" ht="14.25" x14ac:dyDescent="0.2">
      <c r="A11" s="1"/>
      <c r="B11" s="290" t="s">
        <v>7</v>
      </c>
      <c r="C11" s="290"/>
      <c r="D11" s="290"/>
      <c r="E11" s="290"/>
      <c r="F11" s="290"/>
      <c r="G11" s="290"/>
      <c r="H11" s="290"/>
      <c r="I11" s="4"/>
      <c r="J11" s="290" t="s">
        <v>8</v>
      </c>
      <c r="K11" s="290"/>
      <c r="L11" s="290"/>
      <c r="M11" s="290"/>
      <c r="N11" s="290"/>
      <c r="O11" s="290"/>
      <c r="P11" s="290"/>
      <c r="Q11" s="5"/>
      <c r="S11" s="42"/>
      <c r="T11" s="40"/>
      <c r="U11" s="40"/>
      <c r="V11" s="54"/>
      <c r="W11" s="1">
        <f t="shared" si="0"/>
        <v>0</v>
      </c>
      <c r="X11" s="56"/>
      <c r="Y11" s="56"/>
      <c r="Z11" s="57"/>
      <c r="AA11" s="57"/>
      <c r="AB11" s="5"/>
    </row>
    <row r="12" spans="1:28" ht="14.25" x14ac:dyDescent="0.2">
      <c r="A12" s="1"/>
      <c r="B12" s="6" t="s">
        <v>2</v>
      </c>
      <c r="C12" s="6" t="s">
        <v>3</v>
      </c>
      <c r="D12" s="6" t="s">
        <v>4</v>
      </c>
      <c r="E12" s="6" t="s">
        <v>5</v>
      </c>
      <c r="F12" s="6" t="s">
        <v>4</v>
      </c>
      <c r="G12" s="6" t="s">
        <v>6</v>
      </c>
      <c r="H12" s="6" t="s">
        <v>2</v>
      </c>
      <c r="I12" s="4"/>
      <c r="J12" s="6" t="s">
        <v>2</v>
      </c>
      <c r="K12" s="6" t="s">
        <v>3</v>
      </c>
      <c r="L12" s="6" t="s">
        <v>4</v>
      </c>
      <c r="M12" s="6" t="s">
        <v>5</v>
      </c>
      <c r="N12" s="6" t="s">
        <v>4</v>
      </c>
      <c r="O12" s="6" t="s">
        <v>6</v>
      </c>
      <c r="P12" s="6" t="s">
        <v>2</v>
      </c>
      <c r="Q12" s="5"/>
      <c r="S12" s="43"/>
      <c r="T12" s="40" t="s">
        <v>21</v>
      </c>
      <c r="V12" s="1"/>
      <c r="W12" s="1">
        <f t="shared" si="0"/>
        <v>0</v>
      </c>
      <c r="X12" s="58">
        <f ca="1">CountCellsByColor(B1:R59,S12)</f>
        <v>0</v>
      </c>
      <c r="Y12" s="58"/>
      <c r="Z12" s="55"/>
      <c r="AA12" s="55">
        <f ca="1">X12-W12</f>
        <v>0</v>
      </c>
      <c r="AB12" s="5"/>
    </row>
    <row r="13" spans="1:28" ht="14.25" x14ac:dyDescent="0.2">
      <c r="A13" s="1"/>
      <c r="B13" s="299"/>
      <c r="C13" s="292"/>
      <c r="D13" s="292"/>
      <c r="E13" s="292"/>
      <c r="F13" s="11">
        <v>1</v>
      </c>
      <c r="G13" s="8">
        <v>2</v>
      </c>
      <c r="H13" s="9">
        <v>3</v>
      </c>
      <c r="I13" s="4"/>
      <c r="J13" s="9">
        <v>1</v>
      </c>
      <c r="K13" s="11">
        <v>2</v>
      </c>
      <c r="L13" s="11">
        <v>3</v>
      </c>
      <c r="M13" s="11">
        <v>4</v>
      </c>
      <c r="N13" s="11">
        <v>5</v>
      </c>
      <c r="O13" s="11">
        <v>6</v>
      </c>
      <c r="P13" s="11">
        <v>7</v>
      </c>
      <c r="Q13" s="5"/>
      <c r="S13" s="44"/>
      <c r="T13" s="40" t="s">
        <v>22</v>
      </c>
      <c r="V13" s="1"/>
      <c r="W13" s="1">
        <f t="shared" si="0"/>
        <v>0</v>
      </c>
      <c r="X13" s="58">
        <f ca="1">CountCellsByColor(A1:R60,S13)</f>
        <v>0</v>
      </c>
      <c r="Y13" s="58"/>
      <c r="Z13" s="55"/>
      <c r="AA13" s="55">
        <f ca="1">X13-W13</f>
        <v>0</v>
      </c>
      <c r="AB13" s="5"/>
    </row>
    <row r="14" spans="1:28" x14ac:dyDescent="0.2">
      <c r="A14" s="1"/>
      <c r="B14" s="9">
        <v>4</v>
      </c>
      <c r="C14" s="11">
        <v>5</v>
      </c>
      <c r="D14" s="11">
        <v>6</v>
      </c>
      <c r="E14" s="11">
        <v>7</v>
      </c>
      <c r="F14" s="11">
        <v>8</v>
      </c>
      <c r="G14" s="11">
        <v>9</v>
      </c>
      <c r="H14" s="9">
        <v>10</v>
      </c>
      <c r="I14" s="4"/>
      <c r="J14" s="9">
        <v>8</v>
      </c>
      <c r="K14" s="11">
        <v>9</v>
      </c>
      <c r="L14" s="11">
        <v>10</v>
      </c>
      <c r="M14" s="11">
        <v>11</v>
      </c>
      <c r="N14" s="11">
        <v>12</v>
      </c>
      <c r="O14" s="11">
        <v>13</v>
      </c>
      <c r="P14" s="9">
        <v>14</v>
      </c>
      <c r="Q14" s="5"/>
      <c r="S14" s="135"/>
      <c r="T14" s="2" t="s">
        <v>110</v>
      </c>
      <c r="W14" s="1">
        <f t="shared" si="0"/>
        <v>0</v>
      </c>
      <c r="X14" s="58">
        <f ca="1">CountCellsByColor(A1:R61,S14)</f>
        <v>0</v>
      </c>
      <c r="Y14" s="58"/>
      <c r="Z14" s="58"/>
      <c r="AA14" s="55">
        <f ca="1">X14-W14</f>
        <v>0</v>
      </c>
    </row>
    <row r="15" spans="1:28" ht="15" thickBot="1" x14ac:dyDescent="0.25">
      <c r="A15" s="1"/>
      <c r="B15" s="9">
        <v>11</v>
      </c>
      <c r="C15" s="11">
        <v>12</v>
      </c>
      <c r="D15" s="11">
        <v>13</v>
      </c>
      <c r="E15" s="11">
        <v>14</v>
      </c>
      <c r="F15" s="11">
        <v>15</v>
      </c>
      <c r="G15" s="11">
        <v>16</v>
      </c>
      <c r="H15" s="9">
        <v>17</v>
      </c>
      <c r="I15" s="4"/>
      <c r="J15" s="9">
        <v>15</v>
      </c>
      <c r="K15" s="11">
        <v>16</v>
      </c>
      <c r="L15" s="11">
        <v>17</v>
      </c>
      <c r="M15" s="11">
        <v>18</v>
      </c>
      <c r="N15" s="11">
        <v>19</v>
      </c>
      <c r="O15" s="11">
        <v>20</v>
      </c>
      <c r="P15" s="9">
        <v>21</v>
      </c>
      <c r="Q15" s="5"/>
      <c r="S15" s="136"/>
      <c r="T15" s="40" t="s">
        <v>111</v>
      </c>
      <c r="W15" s="1">
        <f>Z15/2</f>
        <v>0</v>
      </c>
      <c r="X15" s="58">
        <f ca="1">CountCellsByColor(A1:R62,S15)</f>
        <v>0</v>
      </c>
      <c r="Y15" s="58"/>
      <c r="Z15" s="58"/>
      <c r="AA15" s="55">
        <f ca="1">X15-W15</f>
        <v>0</v>
      </c>
    </row>
    <row r="16" spans="1:28" ht="16.5" thickBot="1" x14ac:dyDescent="0.25">
      <c r="A16" s="1"/>
      <c r="B16" s="9">
        <v>18</v>
      </c>
      <c r="C16" s="11">
        <v>19</v>
      </c>
      <c r="D16" s="11">
        <v>20</v>
      </c>
      <c r="E16" s="11">
        <v>21</v>
      </c>
      <c r="F16" s="11">
        <v>22</v>
      </c>
      <c r="G16" s="11">
        <v>23</v>
      </c>
      <c r="H16" s="9">
        <v>24</v>
      </c>
      <c r="I16" s="4"/>
      <c r="J16" s="9">
        <v>22</v>
      </c>
      <c r="K16" s="11">
        <v>23</v>
      </c>
      <c r="L16" s="11">
        <v>24</v>
      </c>
      <c r="M16" s="11">
        <v>25</v>
      </c>
      <c r="N16" s="11">
        <v>26</v>
      </c>
      <c r="O16" s="11">
        <v>27</v>
      </c>
      <c r="P16" s="9">
        <v>28</v>
      </c>
      <c r="Q16" s="5"/>
      <c r="S16" s="311"/>
      <c r="T16" s="312" t="s">
        <v>23</v>
      </c>
      <c r="U16" s="313"/>
      <c r="W16" s="137">
        <f ca="1">TODAY()</f>
        <v>43081</v>
      </c>
      <c r="X16" s="138" t="e">
        <f ca="1">DATEDIF(W16,Z21,"d")</f>
        <v>#NUM!</v>
      </c>
    </row>
    <row r="17" spans="1:30" ht="13.5" thickBot="1" x14ac:dyDescent="0.25">
      <c r="A17" s="1"/>
      <c r="B17" s="9">
        <v>25</v>
      </c>
      <c r="C17" s="11">
        <v>26</v>
      </c>
      <c r="D17" s="11">
        <v>27</v>
      </c>
      <c r="E17" s="11">
        <v>28</v>
      </c>
      <c r="F17" s="11">
        <v>29</v>
      </c>
      <c r="G17" s="11">
        <v>30</v>
      </c>
      <c r="H17" s="9">
        <v>31</v>
      </c>
      <c r="I17" s="4"/>
      <c r="J17" s="9">
        <v>29</v>
      </c>
      <c r="K17" s="11">
        <v>30</v>
      </c>
      <c r="L17" s="299"/>
      <c r="M17" s="292"/>
      <c r="N17" s="292"/>
      <c r="O17" s="292"/>
      <c r="P17" s="292"/>
      <c r="Q17" s="5"/>
      <c r="S17" s="303"/>
      <c r="T17" s="314"/>
      <c r="U17" s="315"/>
      <c r="Z17" s="51"/>
      <c r="AA17" s="51"/>
    </row>
    <row r="18" spans="1:30" ht="14.25" customHeight="1" thickBot="1" x14ac:dyDescent="0.25">
      <c r="A18" s="1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S18" s="2" t="s">
        <v>162</v>
      </c>
      <c r="Y18" s="1"/>
      <c r="Z18" s="139">
        <v>3.58</v>
      </c>
      <c r="AA18" s="140" t="s">
        <v>113</v>
      </c>
    </row>
    <row r="19" spans="1:30" ht="16.5" thickBot="1" x14ac:dyDescent="0.25">
      <c r="A19" s="1"/>
      <c r="B19" s="290" t="s">
        <v>9</v>
      </c>
      <c r="C19" s="290"/>
      <c r="D19" s="290"/>
      <c r="E19" s="290"/>
      <c r="F19" s="290"/>
      <c r="G19" s="290"/>
      <c r="H19" s="290"/>
      <c r="I19" s="4"/>
      <c r="J19" s="290" t="s">
        <v>10</v>
      </c>
      <c r="K19" s="290"/>
      <c r="L19" s="290"/>
      <c r="M19" s="290"/>
      <c r="N19" s="290"/>
      <c r="O19" s="290"/>
      <c r="P19" s="290"/>
      <c r="Q19" s="5"/>
      <c r="S19" s="2" t="s">
        <v>163</v>
      </c>
      <c r="Y19" s="1"/>
      <c r="Z19" s="141">
        <f>[3]Attendance!$H$36</f>
        <v>8</v>
      </c>
      <c r="AA19" s="140" t="s">
        <v>113</v>
      </c>
      <c r="AC19"/>
    </row>
    <row r="20" spans="1:30" ht="16.5" thickBot="1" x14ac:dyDescent="0.25">
      <c r="A20" s="1"/>
      <c r="B20" s="6" t="s">
        <v>2</v>
      </c>
      <c r="C20" s="6" t="s">
        <v>3</v>
      </c>
      <c r="D20" s="6" t="s">
        <v>4</v>
      </c>
      <c r="E20" s="6" t="s">
        <v>5</v>
      </c>
      <c r="F20" s="6" t="s">
        <v>4</v>
      </c>
      <c r="G20" s="6" t="s">
        <v>6</v>
      </c>
      <c r="H20" s="6" t="s">
        <v>2</v>
      </c>
      <c r="I20" s="4"/>
      <c r="J20" s="6" t="s">
        <v>2</v>
      </c>
      <c r="K20" s="6" t="s">
        <v>3</v>
      </c>
      <c r="L20" s="6" t="s">
        <v>4</v>
      </c>
      <c r="M20" s="6" t="s">
        <v>5</v>
      </c>
      <c r="N20" s="6" t="s">
        <v>4</v>
      </c>
      <c r="O20" s="6" t="s">
        <v>6</v>
      </c>
      <c r="P20" s="6" t="s">
        <v>2</v>
      </c>
      <c r="Q20" s="5"/>
      <c r="S20" s="142" t="s">
        <v>115</v>
      </c>
      <c r="T20" s="51"/>
      <c r="U20" s="51"/>
      <c r="V20" s="51"/>
      <c r="W20" s="51"/>
      <c r="X20" s="51"/>
      <c r="Y20" s="143"/>
      <c r="Z20" s="144">
        <f ca="1">Z19*0.083-AA5+AA12+Z18+AA15</f>
        <v>4.2439999999999998</v>
      </c>
      <c r="AA20" s="145" t="s">
        <v>113</v>
      </c>
    </row>
    <row r="21" spans="1:30" ht="16.5" thickBot="1" x14ac:dyDescent="0.25">
      <c r="A21" s="1"/>
      <c r="B21" s="299"/>
      <c r="C21" s="292"/>
      <c r="D21" s="11">
        <v>1</v>
      </c>
      <c r="E21" s="11">
        <v>2</v>
      </c>
      <c r="F21" s="11">
        <v>3</v>
      </c>
      <c r="G21" s="11">
        <v>4</v>
      </c>
      <c r="H21" s="9">
        <v>5</v>
      </c>
      <c r="I21" s="4"/>
      <c r="J21" s="299"/>
      <c r="K21" s="292"/>
      <c r="L21" s="292"/>
      <c r="M21" s="292"/>
      <c r="N21" s="292"/>
      <c r="O21" s="11">
        <v>1</v>
      </c>
      <c r="P21" s="11">
        <v>2</v>
      </c>
      <c r="Q21" s="5"/>
      <c r="S21" s="308" t="s">
        <v>116</v>
      </c>
      <c r="T21" s="308"/>
      <c r="U21" s="308"/>
      <c r="V21" s="308"/>
      <c r="W21" s="146"/>
      <c r="X21" s="146"/>
      <c r="Y21" s="147"/>
      <c r="Z21" s="309"/>
      <c r="AA21" s="310"/>
    </row>
    <row r="22" spans="1:30" ht="16.5" thickBot="1" x14ac:dyDescent="0.25">
      <c r="A22" s="1"/>
      <c r="B22" s="9">
        <v>6</v>
      </c>
      <c r="C22" s="11">
        <v>7</v>
      </c>
      <c r="D22" s="11">
        <v>8</v>
      </c>
      <c r="E22" s="11">
        <v>9</v>
      </c>
      <c r="F22" s="11">
        <v>10</v>
      </c>
      <c r="G22" s="11">
        <v>11</v>
      </c>
      <c r="H22" s="9">
        <v>12</v>
      </c>
      <c r="I22" s="4"/>
      <c r="J22" s="9">
        <v>3</v>
      </c>
      <c r="K22" s="11">
        <v>4</v>
      </c>
      <c r="L22" s="11">
        <v>5</v>
      </c>
      <c r="M22" s="11">
        <v>6</v>
      </c>
      <c r="N22" s="11">
        <v>7</v>
      </c>
      <c r="O22" s="11">
        <v>8</v>
      </c>
      <c r="P22" s="9">
        <v>9</v>
      </c>
      <c r="Q22" s="5"/>
      <c r="S22" s="149" t="s">
        <v>117</v>
      </c>
      <c r="T22" s="150"/>
      <c r="U22" s="151"/>
      <c r="V22" s="152">
        <f>+Z21</f>
        <v>0</v>
      </c>
      <c r="W22" s="153" t="s">
        <v>113</v>
      </c>
      <c r="X22" s="154"/>
      <c r="Y22" s="155"/>
      <c r="Z22" s="156" t="e">
        <f ca="1">X16*0.083+Z20</f>
        <v>#NUM!</v>
      </c>
      <c r="AA22" s="157" t="s">
        <v>113</v>
      </c>
      <c r="AC22" s="220"/>
    </row>
    <row r="23" spans="1:30" x14ac:dyDescent="0.2">
      <c r="A23" s="1"/>
      <c r="B23" s="9">
        <v>13</v>
      </c>
      <c r="C23" s="11">
        <v>14</v>
      </c>
      <c r="D23" s="11">
        <v>15</v>
      </c>
      <c r="E23" s="11">
        <v>16</v>
      </c>
      <c r="F23" s="11">
        <v>17</v>
      </c>
      <c r="G23" s="11">
        <v>18</v>
      </c>
      <c r="H23" s="9">
        <v>19</v>
      </c>
      <c r="I23" s="4"/>
      <c r="J23" s="9">
        <v>10</v>
      </c>
      <c r="K23" s="11">
        <v>11</v>
      </c>
      <c r="L23" s="11">
        <v>12</v>
      </c>
      <c r="M23" s="11">
        <v>13</v>
      </c>
      <c r="N23" s="11">
        <v>14</v>
      </c>
      <c r="O23" s="11">
        <v>15</v>
      </c>
      <c r="P23" s="9">
        <v>16</v>
      </c>
      <c r="Q23" s="5"/>
    </row>
    <row r="24" spans="1:30" ht="15.75" x14ac:dyDescent="0.25">
      <c r="A24" s="1"/>
      <c r="B24" s="9">
        <v>20</v>
      </c>
      <c r="C24" s="11">
        <v>21</v>
      </c>
      <c r="D24" s="11">
        <v>22</v>
      </c>
      <c r="E24" s="11">
        <v>23</v>
      </c>
      <c r="F24" s="11">
        <v>24</v>
      </c>
      <c r="G24" s="11">
        <v>25</v>
      </c>
      <c r="H24" s="9">
        <v>26</v>
      </c>
      <c r="I24" s="4"/>
      <c r="J24" s="9">
        <v>17</v>
      </c>
      <c r="K24" s="11">
        <v>18</v>
      </c>
      <c r="L24" s="11">
        <v>19</v>
      </c>
      <c r="M24" s="11">
        <v>20</v>
      </c>
      <c r="N24" s="11">
        <v>21</v>
      </c>
      <c r="O24" s="11">
        <v>22</v>
      </c>
      <c r="P24" s="9">
        <v>23</v>
      </c>
      <c r="Q24" s="5"/>
      <c r="S24" s="124" t="s">
        <v>74</v>
      </c>
      <c r="Z24" s="17"/>
      <c r="AA24" s="17"/>
    </row>
    <row r="25" spans="1:30" x14ac:dyDescent="0.2">
      <c r="A25" s="1"/>
      <c r="B25" s="11">
        <v>27</v>
      </c>
      <c r="C25" s="11">
        <v>28</v>
      </c>
      <c r="D25" s="11">
        <v>29</v>
      </c>
      <c r="E25" s="11">
        <v>30</v>
      </c>
      <c r="F25" s="11">
        <v>31</v>
      </c>
      <c r="G25" s="299"/>
      <c r="H25" s="292"/>
      <c r="I25" s="4"/>
      <c r="J25" s="9">
        <v>24</v>
      </c>
      <c r="K25" s="11">
        <v>25</v>
      </c>
      <c r="L25" s="12">
        <v>26</v>
      </c>
      <c r="M25" s="12">
        <v>27</v>
      </c>
      <c r="N25" s="12">
        <v>28</v>
      </c>
      <c r="O25" s="12">
        <v>29</v>
      </c>
      <c r="P25" s="12">
        <v>30</v>
      </c>
      <c r="Q25" s="5"/>
      <c r="AC25" s="134"/>
    </row>
    <row r="26" spans="1:30" ht="13.5" customHeight="1" x14ac:dyDescent="0.2">
      <c r="A26" s="1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R26" s="2">
        <v>1</v>
      </c>
      <c r="S26" s="2" t="s">
        <v>75</v>
      </c>
      <c r="U26" s="125" t="s">
        <v>96</v>
      </c>
      <c r="V26" s="125"/>
      <c r="AA26" s="159"/>
      <c r="AC26" s="221"/>
      <c r="AD26" s="158"/>
    </row>
    <row r="27" spans="1:30" x14ac:dyDescent="0.2">
      <c r="A27" s="1"/>
      <c r="B27" s="290" t="s">
        <v>11</v>
      </c>
      <c r="C27" s="290"/>
      <c r="D27" s="290"/>
      <c r="E27" s="290"/>
      <c r="F27" s="290"/>
      <c r="G27" s="290"/>
      <c r="H27" s="290"/>
      <c r="I27" s="4"/>
      <c r="J27" s="290" t="s">
        <v>12</v>
      </c>
      <c r="K27" s="290"/>
      <c r="L27" s="290"/>
      <c r="M27" s="290"/>
      <c r="N27" s="290"/>
      <c r="O27" s="290"/>
      <c r="P27" s="290"/>
      <c r="Q27" s="5"/>
      <c r="R27" s="2">
        <v>2</v>
      </c>
      <c r="S27" s="2" t="s">
        <v>76</v>
      </c>
      <c r="U27" s="2" t="s">
        <v>77</v>
      </c>
      <c r="AC27" s="160"/>
      <c r="AD27" s="158"/>
    </row>
    <row r="28" spans="1:30" x14ac:dyDescent="0.2">
      <c r="A28" s="1"/>
      <c r="B28" s="6" t="s">
        <v>2</v>
      </c>
      <c r="C28" s="6" t="s">
        <v>3</v>
      </c>
      <c r="D28" s="6" t="s">
        <v>4</v>
      </c>
      <c r="E28" s="6" t="s">
        <v>5</v>
      </c>
      <c r="F28" s="6" t="s">
        <v>4</v>
      </c>
      <c r="G28" s="6" t="s">
        <v>6</v>
      </c>
      <c r="H28" s="6" t="s">
        <v>2</v>
      </c>
      <c r="I28" s="4"/>
      <c r="J28" s="6" t="s">
        <v>2</v>
      </c>
      <c r="K28" s="6" t="s">
        <v>3</v>
      </c>
      <c r="L28" s="6" t="s">
        <v>4</v>
      </c>
      <c r="M28" s="6" t="s">
        <v>5</v>
      </c>
      <c r="N28" s="6" t="s">
        <v>4</v>
      </c>
      <c r="O28" s="6" t="s">
        <v>6</v>
      </c>
      <c r="P28" s="6" t="s">
        <v>2</v>
      </c>
      <c r="Q28" s="5"/>
      <c r="R28" s="2">
        <v>3</v>
      </c>
      <c r="S28" s="2" t="s">
        <v>78</v>
      </c>
      <c r="U28" s="126" t="s">
        <v>97</v>
      </c>
      <c r="V28" s="126"/>
      <c r="AC28" s="160"/>
      <c r="AD28" s="158"/>
    </row>
    <row r="29" spans="1:30" x14ac:dyDescent="0.2">
      <c r="A29" s="1"/>
      <c r="B29" s="9">
        <v>1</v>
      </c>
      <c r="C29" s="11">
        <v>2</v>
      </c>
      <c r="D29" s="11">
        <v>3</v>
      </c>
      <c r="E29" s="11">
        <v>4</v>
      </c>
      <c r="F29" s="11">
        <v>5</v>
      </c>
      <c r="G29" s="8">
        <v>6</v>
      </c>
      <c r="H29" s="9">
        <v>7</v>
      </c>
      <c r="I29" s="4"/>
      <c r="J29" s="299"/>
      <c r="K29" s="292"/>
      <c r="L29" s="292"/>
      <c r="M29" s="11">
        <v>1</v>
      </c>
      <c r="N29" s="11">
        <v>2</v>
      </c>
      <c r="O29" s="11">
        <v>3</v>
      </c>
      <c r="P29" s="11">
        <v>4</v>
      </c>
      <c r="Q29" s="5"/>
      <c r="R29" s="2">
        <v>4</v>
      </c>
      <c r="S29" s="2" t="s">
        <v>79</v>
      </c>
      <c r="U29" s="127" t="s">
        <v>80</v>
      </c>
      <c r="V29" s="127"/>
    </row>
    <row r="30" spans="1:30" x14ac:dyDescent="0.2">
      <c r="A30" s="1"/>
      <c r="B30" s="9">
        <v>8</v>
      </c>
      <c r="C30" s="11">
        <v>9</v>
      </c>
      <c r="D30" s="11">
        <v>10</v>
      </c>
      <c r="E30" s="11">
        <v>11</v>
      </c>
      <c r="F30" s="11">
        <v>12</v>
      </c>
      <c r="G30" s="11">
        <v>13</v>
      </c>
      <c r="H30" s="9">
        <v>14</v>
      </c>
      <c r="I30" s="4"/>
      <c r="J30" s="9">
        <v>5</v>
      </c>
      <c r="K30" s="11">
        <v>6</v>
      </c>
      <c r="L30" s="11">
        <v>7</v>
      </c>
      <c r="M30" s="11">
        <v>8</v>
      </c>
      <c r="N30" s="11">
        <v>9</v>
      </c>
      <c r="O30" s="11">
        <v>10</v>
      </c>
      <c r="P30" s="9">
        <v>11</v>
      </c>
      <c r="Q30" s="5"/>
      <c r="R30" s="2">
        <v>5</v>
      </c>
      <c r="S30" s="2" t="s">
        <v>81</v>
      </c>
      <c r="U30" s="2" t="s">
        <v>98</v>
      </c>
    </row>
    <row r="31" spans="1:30" x14ac:dyDescent="0.2">
      <c r="A31" s="1"/>
      <c r="B31" s="9">
        <v>15</v>
      </c>
      <c r="C31" s="11">
        <v>16</v>
      </c>
      <c r="D31" s="11">
        <v>17</v>
      </c>
      <c r="E31" s="11">
        <v>18</v>
      </c>
      <c r="F31" s="11">
        <v>19</v>
      </c>
      <c r="G31" s="11">
        <v>20</v>
      </c>
      <c r="H31" s="9">
        <v>21</v>
      </c>
      <c r="I31" s="4"/>
      <c r="J31" s="9">
        <v>12</v>
      </c>
      <c r="K31" s="11">
        <v>13</v>
      </c>
      <c r="L31" s="11">
        <v>14</v>
      </c>
      <c r="M31" s="11">
        <v>15</v>
      </c>
      <c r="N31" s="11">
        <v>16</v>
      </c>
      <c r="O31" s="11">
        <v>17</v>
      </c>
      <c r="P31" s="9">
        <v>18</v>
      </c>
      <c r="Q31" s="5"/>
      <c r="R31" s="2">
        <v>6</v>
      </c>
      <c r="S31" s="2" t="s">
        <v>82</v>
      </c>
      <c r="U31" s="2" t="s">
        <v>83</v>
      </c>
    </row>
    <row r="32" spans="1:30" x14ac:dyDescent="0.2">
      <c r="A32" s="1"/>
      <c r="B32" s="9">
        <v>22</v>
      </c>
      <c r="C32" s="11">
        <v>23</v>
      </c>
      <c r="D32" s="11">
        <v>24</v>
      </c>
      <c r="E32" s="11">
        <v>25</v>
      </c>
      <c r="F32" s="11">
        <v>26</v>
      </c>
      <c r="G32" s="11">
        <v>27</v>
      </c>
      <c r="H32" s="9">
        <v>28</v>
      </c>
      <c r="I32" s="4"/>
      <c r="J32" s="9">
        <v>19</v>
      </c>
      <c r="K32" s="11">
        <v>20</v>
      </c>
      <c r="L32" s="11">
        <v>21</v>
      </c>
      <c r="M32" s="11">
        <v>22</v>
      </c>
      <c r="N32" s="11">
        <v>23</v>
      </c>
      <c r="O32" s="11">
        <v>24</v>
      </c>
      <c r="P32" s="9">
        <v>25</v>
      </c>
      <c r="Q32" s="5"/>
      <c r="R32" s="2">
        <v>7</v>
      </c>
      <c r="S32" s="2" t="s">
        <v>84</v>
      </c>
      <c r="U32" s="2" t="s">
        <v>85</v>
      </c>
    </row>
    <row r="33" spans="1:31" x14ac:dyDescent="0.2">
      <c r="A33" s="1"/>
      <c r="B33" s="9">
        <v>29</v>
      </c>
      <c r="C33" s="11">
        <v>30</v>
      </c>
      <c r="D33" s="11">
        <v>31</v>
      </c>
      <c r="E33" s="299"/>
      <c r="F33" s="292"/>
      <c r="G33" s="292"/>
      <c r="H33" s="292"/>
      <c r="I33" s="4"/>
      <c r="J33" s="9">
        <v>26</v>
      </c>
      <c r="K33" s="11">
        <v>27</v>
      </c>
      <c r="L33" s="12">
        <v>28</v>
      </c>
      <c r="M33" s="12">
        <v>29</v>
      </c>
      <c r="N33" s="12">
        <v>30</v>
      </c>
      <c r="O33" s="12">
        <v>31</v>
      </c>
      <c r="P33" s="10"/>
      <c r="Q33" s="5"/>
      <c r="R33" s="2">
        <v>8</v>
      </c>
      <c r="S33" s="2" t="s">
        <v>86</v>
      </c>
      <c r="U33" s="2" t="s">
        <v>99</v>
      </c>
    </row>
    <row r="34" spans="1:31" ht="14.25" customHeight="1" x14ac:dyDescent="0.2">
      <c r="A34" s="1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R34" s="2">
        <v>9</v>
      </c>
      <c r="S34" s="2" t="s">
        <v>87</v>
      </c>
      <c r="U34" s="2" t="s">
        <v>88</v>
      </c>
    </row>
    <row r="35" spans="1:31" x14ac:dyDescent="0.2">
      <c r="A35" s="1"/>
      <c r="B35" s="290" t="s">
        <v>13</v>
      </c>
      <c r="C35" s="290"/>
      <c r="D35" s="290"/>
      <c r="E35" s="290"/>
      <c r="F35" s="290"/>
      <c r="G35" s="290"/>
      <c r="H35" s="290"/>
      <c r="I35" s="4"/>
      <c r="J35" s="290" t="s">
        <v>14</v>
      </c>
      <c r="K35" s="290"/>
      <c r="L35" s="290"/>
      <c r="M35" s="290"/>
      <c r="N35" s="290"/>
      <c r="O35" s="290"/>
      <c r="P35" s="290"/>
      <c r="Q35" s="5"/>
      <c r="R35" s="2">
        <v>10</v>
      </c>
      <c r="S35" s="2" t="s">
        <v>100</v>
      </c>
      <c r="W35" s="161"/>
    </row>
    <row r="36" spans="1:31" x14ac:dyDescent="0.2">
      <c r="A36" s="1"/>
      <c r="B36" s="6" t="s">
        <v>2</v>
      </c>
      <c r="C36" s="6" t="s">
        <v>3</v>
      </c>
      <c r="D36" s="6" t="s">
        <v>4</v>
      </c>
      <c r="E36" s="6" t="s">
        <v>5</v>
      </c>
      <c r="F36" s="6" t="s">
        <v>4</v>
      </c>
      <c r="G36" s="6" t="s">
        <v>6</v>
      </c>
      <c r="H36" s="6" t="s">
        <v>2</v>
      </c>
      <c r="I36" s="4"/>
      <c r="J36" s="6" t="s">
        <v>2</v>
      </c>
      <c r="K36" s="6" t="s">
        <v>3</v>
      </c>
      <c r="L36" s="6" t="s">
        <v>4</v>
      </c>
      <c r="M36" s="6" t="s">
        <v>5</v>
      </c>
      <c r="N36" s="6" t="s">
        <v>4</v>
      </c>
      <c r="O36" s="6" t="s">
        <v>6</v>
      </c>
      <c r="P36" s="6" t="s">
        <v>2</v>
      </c>
      <c r="Q36" s="5"/>
      <c r="R36" s="2">
        <v>11</v>
      </c>
      <c r="S36" s="2" t="s">
        <v>89</v>
      </c>
      <c r="U36" s="51" t="s">
        <v>127</v>
      </c>
    </row>
    <row r="37" spans="1:31" x14ac:dyDescent="0.2">
      <c r="A37" s="1"/>
      <c r="B37" s="299"/>
      <c r="C37" s="292"/>
      <c r="D37" s="292"/>
      <c r="E37" s="292"/>
      <c r="F37" s="292"/>
      <c r="G37" s="292"/>
      <c r="H37" s="9">
        <v>1</v>
      </c>
      <c r="I37" s="4"/>
      <c r="J37" s="10"/>
      <c r="K37" s="11">
        <v>1</v>
      </c>
      <c r="L37" s="11">
        <v>2</v>
      </c>
      <c r="M37" s="11">
        <v>3</v>
      </c>
      <c r="N37" s="11">
        <v>4</v>
      </c>
      <c r="O37" s="11">
        <v>5</v>
      </c>
      <c r="P37" s="11">
        <v>6</v>
      </c>
      <c r="Q37" s="5"/>
      <c r="R37" s="2">
        <v>12</v>
      </c>
      <c r="S37" s="2" t="s">
        <v>90</v>
      </c>
      <c r="T37" s="1"/>
      <c r="U37" s="128" t="s">
        <v>102</v>
      </c>
      <c r="V37" s="5"/>
    </row>
    <row r="38" spans="1:31" x14ac:dyDescent="0.2">
      <c r="A38" s="1"/>
      <c r="B38" s="9">
        <v>2</v>
      </c>
      <c r="C38" s="11">
        <v>3</v>
      </c>
      <c r="D38" s="11">
        <v>4</v>
      </c>
      <c r="E38" s="11">
        <v>5</v>
      </c>
      <c r="F38" s="11">
        <v>6</v>
      </c>
      <c r="G38" s="11">
        <v>7</v>
      </c>
      <c r="H38" s="9">
        <v>8</v>
      </c>
      <c r="I38" s="4"/>
      <c r="J38" s="9">
        <v>7</v>
      </c>
      <c r="K38" s="11">
        <v>8</v>
      </c>
      <c r="L38" s="11">
        <v>9</v>
      </c>
      <c r="M38" s="11">
        <v>10</v>
      </c>
      <c r="N38" s="11">
        <v>11</v>
      </c>
      <c r="O38" s="11">
        <v>12</v>
      </c>
      <c r="P38" s="9">
        <v>13</v>
      </c>
      <c r="Q38" s="5"/>
      <c r="R38" s="2">
        <v>13</v>
      </c>
      <c r="S38" s="2" t="s">
        <v>91</v>
      </c>
      <c r="T38" s="129"/>
      <c r="U38" s="130" t="s">
        <v>103</v>
      </c>
    </row>
    <row r="39" spans="1:31" x14ac:dyDescent="0.2">
      <c r="A39" s="1"/>
      <c r="B39" s="9">
        <v>9</v>
      </c>
      <c r="C39" s="11">
        <v>10</v>
      </c>
      <c r="D39" s="11">
        <v>11</v>
      </c>
      <c r="E39" s="11">
        <v>12</v>
      </c>
      <c r="F39" s="11">
        <v>13</v>
      </c>
      <c r="G39" s="11">
        <v>14</v>
      </c>
      <c r="H39" s="9">
        <v>15</v>
      </c>
      <c r="I39" s="4"/>
      <c r="J39" s="9">
        <v>14</v>
      </c>
      <c r="K39" s="11">
        <v>15</v>
      </c>
      <c r="L39" s="11">
        <v>16</v>
      </c>
      <c r="M39" s="11">
        <v>17</v>
      </c>
      <c r="N39" s="11">
        <v>18</v>
      </c>
      <c r="O39" s="11">
        <v>19</v>
      </c>
      <c r="P39" s="9">
        <v>20</v>
      </c>
      <c r="Q39" s="5"/>
      <c r="R39" s="2">
        <v>14</v>
      </c>
      <c r="S39" s="2" t="s">
        <v>92</v>
      </c>
      <c r="T39" s="1"/>
      <c r="U39" s="131">
        <v>92675480</v>
      </c>
      <c r="V39" s="5"/>
    </row>
    <row r="40" spans="1:31" x14ac:dyDescent="0.2">
      <c r="A40" s="1"/>
      <c r="B40" s="9">
        <v>16</v>
      </c>
      <c r="C40" s="11">
        <v>17</v>
      </c>
      <c r="D40" s="11">
        <v>18</v>
      </c>
      <c r="E40" s="11">
        <v>19</v>
      </c>
      <c r="F40" s="11">
        <v>20</v>
      </c>
      <c r="G40" s="11">
        <v>21</v>
      </c>
      <c r="H40" s="9">
        <v>22</v>
      </c>
      <c r="I40" s="4"/>
      <c r="J40" s="9">
        <v>21</v>
      </c>
      <c r="K40" s="11">
        <v>22</v>
      </c>
      <c r="L40" s="11">
        <v>23</v>
      </c>
      <c r="M40" s="11">
        <v>24</v>
      </c>
      <c r="N40" s="11">
        <v>25</v>
      </c>
      <c r="O40" s="11">
        <v>26</v>
      </c>
      <c r="P40" s="9">
        <v>27</v>
      </c>
      <c r="Q40" s="5"/>
      <c r="R40" s="2">
        <v>15</v>
      </c>
      <c r="S40" s="2" t="s">
        <v>93</v>
      </c>
      <c r="T40" s="129"/>
      <c r="U40" s="17" t="s">
        <v>104</v>
      </c>
      <c r="V40" s="127"/>
    </row>
    <row r="41" spans="1:31" x14ac:dyDescent="0.2">
      <c r="A41" s="1"/>
      <c r="B41" s="9">
        <v>23</v>
      </c>
      <c r="C41" s="11">
        <v>24</v>
      </c>
      <c r="D41" s="11">
        <v>25</v>
      </c>
      <c r="E41" s="11">
        <v>26</v>
      </c>
      <c r="F41" s="11">
        <v>27</v>
      </c>
      <c r="G41" s="11">
        <v>28</v>
      </c>
      <c r="H41" s="9">
        <v>29</v>
      </c>
      <c r="I41" s="4"/>
      <c r="J41" s="9">
        <v>28</v>
      </c>
      <c r="K41" s="11">
        <v>29</v>
      </c>
      <c r="L41" s="12">
        <v>30</v>
      </c>
      <c r="M41" s="12">
        <v>31</v>
      </c>
      <c r="N41" s="299"/>
      <c r="O41" s="292"/>
      <c r="P41" s="292"/>
      <c r="Q41" s="5"/>
      <c r="R41" s="2">
        <v>16</v>
      </c>
      <c r="S41" s="2" t="s">
        <v>94</v>
      </c>
      <c r="T41" s="129"/>
      <c r="U41" s="127" t="s">
        <v>95</v>
      </c>
    </row>
    <row r="42" spans="1:31" x14ac:dyDescent="0.2">
      <c r="A42" s="1"/>
      <c r="B42" s="9">
        <v>30</v>
      </c>
      <c r="C42" s="299"/>
      <c r="D42" s="292"/>
      <c r="E42" s="292"/>
      <c r="F42" s="292"/>
      <c r="G42" s="292"/>
      <c r="H42" s="292"/>
      <c r="I42" s="4"/>
      <c r="J42" s="18"/>
      <c r="K42" s="19"/>
      <c r="L42" s="18"/>
      <c r="M42" s="18"/>
      <c r="N42" s="18"/>
      <c r="O42" s="18"/>
      <c r="P42" s="18"/>
      <c r="R42" s="2">
        <v>17</v>
      </c>
      <c r="S42" s="2" t="s">
        <v>105</v>
      </c>
      <c r="U42" s="2" t="s">
        <v>106</v>
      </c>
    </row>
    <row r="43" spans="1:31" ht="12.75" customHeight="1" x14ac:dyDescent="0.2">
      <c r="A43" s="1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R43" s="2">
        <v>18</v>
      </c>
      <c r="S43" s="2" t="s">
        <v>107</v>
      </c>
    </row>
    <row r="44" spans="1:31" x14ac:dyDescent="0.2">
      <c r="A44" s="1"/>
      <c r="B44" s="290" t="s">
        <v>15</v>
      </c>
      <c r="C44" s="290"/>
      <c r="D44" s="290"/>
      <c r="E44" s="290"/>
      <c r="F44" s="290"/>
      <c r="G44" s="290"/>
      <c r="H44" s="290"/>
      <c r="I44" s="4"/>
      <c r="J44" s="290" t="s">
        <v>16</v>
      </c>
      <c r="K44" s="290"/>
      <c r="L44" s="290"/>
      <c r="M44" s="290"/>
      <c r="N44" s="290"/>
      <c r="O44" s="290"/>
      <c r="P44" s="290"/>
      <c r="Q44" s="5"/>
      <c r="R44" s="2">
        <v>19</v>
      </c>
      <c r="S44" s="2" t="s">
        <v>108</v>
      </c>
      <c r="U44" s="133" t="s">
        <v>109</v>
      </c>
    </row>
    <row r="45" spans="1:31" x14ac:dyDescent="0.2">
      <c r="A45" s="1"/>
      <c r="B45" s="6" t="s">
        <v>2</v>
      </c>
      <c r="C45" s="6" t="s">
        <v>3</v>
      </c>
      <c r="D45" s="6" t="s">
        <v>4</v>
      </c>
      <c r="E45" s="6" t="s">
        <v>5</v>
      </c>
      <c r="F45" s="6" t="s">
        <v>4</v>
      </c>
      <c r="G45" s="6" t="s">
        <v>6</v>
      </c>
      <c r="H45" s="6" t="s">
        <v>2</v>
      </c>
      <c r="I45" s="4"/>
      <c r="J45" s="6" t="s">
        <v>2</v>
      </c>
      <c r="K45" s="6" t="s">
        <v>3</v>
      </c>
      <c r="L45" s="6" t="s">
        <v>4</v>
      </c>
      <c r="M45" s="6" t="s">
        <v>5</v>
      </c>
      <c r="N45" s="6" t="s">
        <v>4</v>
      </c>
      <c r="O45" s="6" t="s">
        <v>6</v>
      </c>
      <c r="P45" s="6" t="s">
        <v>2</v>
      </c>
      <c r="Q45" s="5"/>
    </row>
    <row r="46" spans="1:31" x14ac:dyDescent="0.2">
      <c r="A46" s="1"/>
      <c r="B46" s="299"/>
      <c r="C46" s="292"/>
      <c r="D46" s="292"/>
      <c r="E46" s="292"/>
      <c r="F46" s="11">
        <v>1</v>
      </c>
      <c r="G46" s="8">
        <v>2</v>
      </c>
      <c r="H46" s="9">
        <v>3</v>
      </c>
      <c r="I46" s="4"/>
      <c r="J46" s="299"/>
      <c r="K46" s="292"/>
      <c r="L46" s="292"/>
      <c r="M46" s="292"/>
      <c r="N46" s="292"/>
      <c r="O46" s="292"/>
      <c r="P46" s="11">
        <v>1</v>
      </c>
      <c r="Q46" s="5"/>
    </row>
    <row r="47" spans="1:31" ht="16.5" thickBot="1" x14ac:dyDescent="0.3">
      <c r="A47" s="1"/>
      <c r="B47" s="9">
        <v>4</v>
      </c>
      <c r="C47" s="11">
        <v>5</v>
      </c>
      <c r="D47" s="11">
        <v>6</v>
      </c>
      <c r="E47" s="11">
        <v>7</v>
      </c>
      <c r="F47" s="11">
        <v>8</v>
      </c>
      <c r="G47" s="11">
        <v>9</v>
      </c>
      <c r="H47" s="9">
        <v>10</v>
      </c>
      <c r="I47" s="4"/>
      <c r="J47" s="9">
        <v>2</v>
      </c>
      <c r="K47" s="11">
        <v>3</v>
      </c>
      <c r="L47" s="11">
        <v>4</v>
      </c>
      <c r="M47" s="11">
        <v>5</v>
      </c>
      <c r="N47" s="11">
        <v>6</v>
      </c>
      <c r="O47" s="11">
        <v>7</v>
      </c>
      <c r="P47" s="9">
        <v>8</v>
      </c>
      <c r="Q47" s="5"/>
      <c r="S47" s="203" t="s">
        <v>159</v>
      </c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172"/>
    </row>
    <row r="48" spans="1:31" ht="25.5" x14ac:dyDescent="0.2">
      <c r="A48" s="1"/>
      <c r="B48" s="9">
        <v>11</v>
      </c>
      <c r="C48" s="11">
        <v>12</v>
      </c>
      <c r="D48" s="11">
        <v>13</v>
      </c>
      <c r="E48" s="11">
        <v>14</v>
      </c>
      <c r="F48" s="11">
        <v>15</v>
      </c>
      <c r="G48" s="11">
        <v>16</v>
      </c>
      <c r="H48" s="9">
        <v>17</v>
      </c>
      <c r="I48" s="4"/>
      <c r="J48" s="9">
        <v>9</v>
      </c>
      <c r="K48" s="11">
        <v>10</v>
      </c>
      <c r="L48" s="11">
        <v>11</v>
      </c>
      <c r="M48" s="11">
        <v>12</v>
      </c>
      <c r="N48" s="11">
        <v>13</v>
      </c>
      <c r="O48" s="11">
        <v>14</v>
      </c>
      <c r="P48" s="9">
        <v>15</v>
      </c>
      <c r="Q48" s="5"/>
      <c r="S48" s="204" t="s">
        <v>45</v>
      </c>
      <c r="T48" s="205" t="s">
        <v>118</v>
      </c>
      <c r="U48" s="206" t="s">
        <v>119</v>
      </c>
      <c r="V48" s="206" t="s">
        <v>122</v>
      </c>
      <c r="W48" s="207" t="s">
        <v>121</v>
      </c>
      <c r="X48" s="205"/>
      <c r="Y48" s="205"/>
      <c r="Z48" s="208" t="s">
        <v>120</v>
      </c>
      <c r="AA48" s="208" t="s">
        <v>160</v>
      </c>
      <c r="AB48" s="209" t="s">
        <v>124</v>
      </c>
      <c r="AC48" s="210" t="s">
        <v>131</v>
      </c>
      <c r="AD48" s="211" t="s">
        <v>123</v>
      </c>
      <c r="AE48" s="208" t="s">
        <v>125</v>
      </c>
    </row>
    <row r="49" spans="1:31" x14ac:dyDescent="0.2">
      <c r="A49" s="1"/>
      <c r="B49" s="9">
        <v>18</v>
      </c>
      <c r="C49" s="11">
        <v>19</v>
      </c>
      <c r="D49" s="11">
        <v>20</v>
      </c>
      <c r="E49" s="11">
        <v>21</v>
      </c>
      <c r="F49" s="11">
        <v>22</v>
      </c>
      <c r="G49" s="11">
        <v>23</v>
      </c>
      <c r="H49" s="9">
        <v>24</v>
      </c>
      <c r="I49" s="4"/>
      <c r="J49" s="9">
        <v>16</v>
      </c>
      <c r="K49" s="11">
        <v>17</v>
      </c>
      <c r="L49" s="11">
        <v>18</v>
      </c>
      <c r="M49" s="11">
        <v>19</v>
      </c>
      <c r="N49" s="11">
        <v>20</v>
      </c>
      <c r="O49" s="11">
        <v>21</v>
      </c>
      <c r="P49" s="9">
        <v>22</v>
      </c>
      <c r="Q49" s="5"/>
      <c r="S49" s="212"/>
      <c r="T49" s="212"/>
      <c r="U49" s="212"/>
      <c r="V49" s="212"/>
      <c r="W49" s="212"/>
      <c r="X49" s="212"/>
      <c r="Y49" s="212"/>
      <c r="Z49" s="212"/>
      <c r="AA49" s="212"/>
      <c r="AB49" s="212"/>
      <c r="AC49" s="212"/>
      <c r="AD49" s="212"/>
      <c r="AE49" s="212"/>
    </row>
    <row r="50" spans="1:31" x14ac:dyDescent="0.2">
      <c r="A50" s="1"/>
      <c r="B50" s="9">
        <v>25</v>
      </c>
      <c r="C50" s="11">
        <v>26</v>
      </c>
      <c r="D50" s="11">
        <v>27</v>
      </c>
      <c r="E50" s="11">
        <v>28</v>
      </c>
      <c r="F50" s="11">
        <v>29</v>
      </c>
      <c r="G50" s="11">
        <v>30</v>
      </c>
      <c r="H50" s="10"/>
      <c r="I50" s="4"/>
      <c r="J50" s="9">
        <v>23</v>
      </c>
      <c r="K50" s="11">
        <v>24</v>
      </c>
      <c r="L50" s="12">
        <v>25</v>
      </c>
      <c r="M50" s="12">
        <v>26</v>
      </c>
      <c r="N50" s="12">
        <v>27</v>
      </c>
      <c r="O50" s="12">
        <v>28</v>
      </c>
      <c r="P50" s="12">
        <v>29</v>
      </c>
      <c r="Q50" s="5"/>
      <c r="S50" s="212"/>
      <c r="T50" s="212"/>
      <c r="U50" s="212"/>
      <c r="V50" s="212"/>
      <c r="W50" s="212"/>
      <c r="X50" s="212"/>
      <c r="Y50" s="212"/>
      <c r="Z50" s="212"/>
      <c r="AA50" s="212"/>
      <c r="AB50" s="212"/>
      <c r="AC50" s="212"/>
      <c r="AD50" s="212"/>
      <c r="AE50" s="212"/>
    </row>
    <row r="51" spans="1:31" x14ac:dyDescent="0.2">
      <c r="B51" s="20"/>
      <c r="C51" s="20"/>
      <c r="D51" s="20"/>
      <c r="E51" s="20"/>
      <c r="F51" s="20"/>
      <c r="G51" s="20"/>
      <c r="H51" s="20"/>
      <c r="I51" s="21"/>
      <c r="J51" s="9">
        <v>30</v>
      </c>
      <c r="K51" s="11">
        <v>31</v>
      </c>
      <c r="L51" s="299"/>
      <c r="M51" s="292"/>
      <c r="N51" s="292"/>
      <c r="O51" s="292"/>
      <c r="P51" s="292"/>
      <c r="Q51" s="5"/>
      <c r="S51" s="213"/>
      <c r="T51" s="213"/>
      <c r="U51" s="213"/>
      <c r="V51" s="213"/>
      <c r="W51" s="213"/>
      <c r="X51" s="213"/>
      <c r="Y51" s="213"/>
      <c r="Z51" s="213"/>
      <c r="AA51" s="213"/>
      <c r="AB51" s="214"/>
      <c r="AC51" s="213"/>
      <c r="AD51" s="213"/>
      <c r="AE51" s="213"/>
    </row>
    <row r="52" spans="1:31" x14ac:dyDescent="0.2">
      <c r="J52" s="17"/>
      <c r="K52" s="17"/>
      <c r="L52" s="17"/>
      <c r="M52" s="17"/>
      <c r="N52" s="17"/>
      <c r="O52" s="17"/>
      <c r="P52" s="17"/>
      <c r="S52" s="212"/>
      <c r="T52" s="212"/>
      <c r="U52" s="212"/>
      <c r="V52" s="212"/>
      <c r="W52" s="212"/>
      <c r="X52" s="212"/>
      <c r="Y52" s="212"/>
      <c r="Z52" s="212"/>
      <c r="AA52" s="212"/>
      <c r="AB52" s="212"/>
      <c r="AC52" s="212"/>
      <c r="AD52" s="212"/>
      <c r="AE52" s="212"/>
    </row>
    <row r="53" spans="1:31" x14ac:dyDescent="0.2">
      <c r="S53" s="215"/>
      <c r="T53" s="215"/>
      <c r="U53" s="212"/>
      <c r="V53" s="215"/>
      <c r="W53" s="215"/>
      <c r="X53" s="215"/>
      <c r="Y53" s="215"/>
      <c r="Z53" s="215"/>
      <c r="AA53" s="212"/>
      <c r="AB53" s="212"/>
      <c r="AC53" s="212"/>
      <c r="AD53" s="212"/>
      <c r="AE53" s="212"/>
    </row>
    <row r="54" spans="1:31" x14ac:dyDescent="0.2">
      <c r="R54" s="217"/>
      <c r="S54" s="212"/>
      <c r="T54" s="215"/>
      <c r="U54" s="212"/>
      <c r="V54" s="212"/>
      <c r="W54" s="212"/>
      <c r="X54" s="212"/>
      <c r="Y54" s="212"/>
      <c r="Z54" s="212"/>
      <c r="AA54" s="212"/>
      <c r="AB54" s="212"/>
      <c r="AC54" s="212"/>
      <c r="AD54" s="212"/>
      <c r="AE54" s="212"/>
    </row>
    <row r="55" spans="1:31" x14ac:dyDescent="0.2">
      <c r="R55" s="56"/>
      <c r="S55" s="57"/>
      <c r="T55" s="56"/>
      <c r="U55" s="57"/>
      <c r="V55" s="56"/>
      <c r="W55" s="56"/>
      <c r="X55" s="56"/>
      <c r="Y55" s="56"/>
      <c r="Z55" s="56"/>
      <c r="AA55" s="57"/>
      <c r="AB55" s="57"/>
      <c r="AC55" s="57"/>
      <c r="AD55" s="57"/>
      <c r="AE55" s="57"/>
    </row>
  </sheetData>
  <mergeCells count="37">
    <mergeCell ref="S21:V21"/>
    <mergeCell ref="Z21:AA21"/>
    <mergeCell ref="X5:Y5"/>
    <mergeCell ref="X6:Y6"/>
    <mergeCell ref="X7:Y7"/>
    <mergeCell ref="X8:Y8"/>
    <mergeCell ref="S16:S17"/>
    <mergeCell ref="T16:U17"/>
    <mergeCell ref="B44:H44"/>
    <mergeCell ref="J44:P44"/>
    <mergeCell ref="B46:E46"/>
    <mergeCell ref="J46:O46"/>
    <mergeCell ref="L51:P51"/>
    <mergeCell ref="B11:H11"/>
    <mergeCell ref="J11:P11"/>
    <mergeCell ref="B13:E13"/>
    <mergeCell ref="L17:P17"/>
    <mergeCell ref="B19:H19"/>
    <mergeCell ref="J19:P19"/>
    <mergeCell ref="N41:P41"/>
    <mergeCell ref="C42:H42"/>
    <mergeCell ref="B21:C21"/>
    <mergeCell ref="J21:N21"/>
    <mergeCell ref="G25:H25"/>
    <mergeCell ref="B27:H27"/>
    <mergeCell ref="J27:P27"/>
    <mergeCell ref="J29:L29"/>
    <mergeCell ref="E33:H33"/>
    <mergeCell ref="B35:H35"/>
    <mergeCell ref="J35:P35"/>
    <mergeCell ref="B37:G37"/>
    <mergeCell ref="B1:P1"/>
    <mergeCell ref="B3:H3"/>
    <mergeCell ref="J3:P3"/>
    <mergeCell ref="N9:P9"/>
    <mergeCell ref="J5:M5"/>
    <mergeCell ref="F9:H9"/>
  </mergeCells>
  <hyperlinks>
    <hyperlink ref="U44" r:id="rId1"/>
    <hyperlink ref="S5" r:id="rId2"/>
    <hyperlink ref="S6" r:id="rId3"/>
    <hyperlink ref="S8" r:id="rId4"/>
    <hyperlink ref="S9" r:id="rId5"/>
  </hyperlinks>
  <printOptions horizontalCentered="1"/>
  <pageMargins left="0.75" right="0.75" top="0.75" bottom="0.5" header="0.5" footer="0.5"/>
  <pageSetup orientation="portrait" horizontalDpi="300" verticalDpi="300" r:id="rId6"/>
  <headerFooter alignWithMargins="0"/>
  <drawing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52"/>
  <sheetViews>
    <sheetView workbookViewId="0">
      <selection activeCell="B1" sqref="B1:P1"/>
    </sheetView>
  </sheetViews>
  <sheetFormatPr defaultRowHeight="12.75" x14ac:dyDescent="0.2"/>
  <cols>
    <col min="1" max="1" width="1.28515625" style="2" customWidth="1"/>
    <col min="2" max="8" width="5.140625" style="2" customWidth="1"/>
    <col min="9" max="9" width="5.7109375" style="2" customWidth="1"/>
    <col min="10" max="16" width="5.140625" style="2" customWidth="1"/>
    <col min="17" max="17" width="1.28515625" style="2" customWidth="1"/>
    <col min="18" max="16384" width="9.140625" style="2"/>
  </cols>
  <sheetData>
    <row r="1" spans="1:17" ht="26.1" customHeight="1" x14ac:dyDescent="0.2">
      <c r="A1" s="22"/>
      <c r="B1" s="296">
        <v>2019</v>
      </c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7"/>
    </row>
    <row r="2" spans="1:17" ht="6" customHeight="1" x14ac:dyDescent="0.2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</row>
    <row r="3" spans="1:17" x14ac:dyDescent="0.2">
      <c r="A3" s="1"/>
      <c r="B3" s="290" t="s">
        <v>0</v>
      </c>
      <c r="C3" s="290"/>
      <c r="D3" s="290"/>
      <c r="E3" s="290"/>
      <c r="F3" s="290"/>
      <c r="G3" s="290"/>
      <c r="H3" s="290"/>
      <c r="I3" s="4"/>
      <c r="J3" s="290" t="s">
        <v>1</v>
      </c>
      <c r="K3" s="290"/>
      <c r="L3" s="290"/>
      <c r="M3" s="290"/>
      <c r="N3" s="290"/>
      <c r="O3" s="290"/>
      <c r="P3" s="290"/>
      <c r="Q3" s="5"/>
    </row>
    <row r="4" spans="1:17" x14ac:dyDescent="0.2">
      <c r="A4" s="1"/>
      <c r="B4" s="6" t="s">
        <v>2</v>
      </c>
      <c r="C4" s="6" t="s">
        <v>3</v>
      </c>
      <c r="D4" s="6" t="s">
        <v>4</v>
      </c>
      <c r="E4" s="6" t="s">
        <v>5</v>
      </c>
      <c r="F4" s="6" t="s">
        <v>4</v>
      </c>
      <c r="G4" s="6" t="s">
        <v>6</v>
      </c>
      <c r="H4" s="6" t="s">
        <v>2</v>
      </c>
      <c r="I4" s="7"/>
      <c r="J4" s="6" t="s">
        <v>2</v>
      </c>
      <c r="K4" s="6" t="s">
        <v>3</v>
      </c>
      <c r="L4" s="6" t="s">
        <v>4</v>
      </c>
      <c r="M4" s="6" t="s">
        <v>5</v>
      </c>
      <c r="N4" s="6" t="s">
        <v>4</v>
      </c>
      <c r="O4" s="6" t="s">
        <v>6</v>
      </c>
      <c r="P4" s="6" t="s">
        <v>2</v>
      </c>
      <c r="Q4" s="5"/>
    </row>
    <row r="5" spans="1:17" x14ac:dyDescent="0.2">
      <c r="A5" s="1"/>
      <c r="B5" s="299"/>
      <c r="C5" s="292"/>
      <c r="D5" s="11">
        <v>1</v>
      </c>
      <c r="E5" s="11">
        <v>2</v>
      </c>
      <c r="F5" s="11">
        <v>3</v>
      </c>
      <c r="G5" s="8">
        <v>4</v>
      </c>
      <c r="H5" s="9">
        <v>5</v>
      </c>
      <c r="I5" s="7"/>
      <c r="J5" s="299"/>
      <c r="K5" s="292"/>
      <c r="L5" s="292"/>
      <c r="M5" s="292"/>
      <c r="N5" s="292"/>
      <c r="O5" s="11">
        <v>1</v>
      </c>
      <c r="P5" s="11">
        <v>2</v>
      </c>
      <c r="Q5" s="5"/>
    </row>
    <row r="6" spans="1:17" x14ac:dyDescent="0.2">
      <c r="A6" s="1"/>
      <c r="B6" s="9">
        <v>6</v>
      </c>
      <c r="C6" s="11">
        <v>7</v>
      </c>
      <c r="D6" s="11">
        <v>8</v>
      </c>
      <c r="E6" s="11">
        <v>9</v>
      </c>
      <c r="F6" s="11">
        <v>10</v>
      </c>
      <c r="G6" s="11">
        <v>11</v>
      </c>
      <c r="H6" s="9">
        <v>12</v>
      </c>
      <c r="I6" s="7"/>
      <c r="J6" s="9">
        <v>3</v>
      </c>
      <c r="K6" s="11">
        <v>4</v>
      </c>
      <c r="L6" s="11">
        <v>5</v>
      </c>
      <c r="M6" s="11">
        <v>6</v>
      </c>
      <c r="N6" s="11">
        <v>7</v>
      </c>
      <c r="O6" s="11">
        <v>8</v>
      </c>
      <c r="P6" s="9">
        <v>9</v>
      </c>
      <c r="Q6" s="5"/>
    </row>
    <row r="7" spans="1:17" x14ac:dyDescent="0.2">
      <c r="A7" s="1"/>
      <c r="B7" s="9">
        <v>13</v>
      </c>
      <c r="C7" s="11">
        <v>14</v>
      </c>
      <c r="D7" s="11">
        <v>15</v>
      </c>
      <c r="E7" s="11">
        <v>16</v>
      </c>
      <c r="F7" s="11">
        <v>17</v>
      </c>
      <c r="G7" s="11">
        <v>18</v>
      </c>
      <c r="H7" s="9">
        <v>19</v>
      </c>
      <c r="I7" s="7"/>
      <c r="J7" s="9">
        <v>10</v>
      </c>
      <c r="K7" s="11">
        <v>11</v>
      </c>
      <c r="L7" s="11">
        <v>12</v>
      </c>
      <c r="M7" s="11">
        <v>13</v>
      </c>
      <c r="N7" s="11">
        <v>14</v>
      </c>
      <c r="O7" s="11">
        <v>15</v>
      </c>
      <c r="P7" s="9">
        <v>16</v>
      </c>
      <c r="Q7" s="5"/>
    </row>
    <row r="8" spans="1:17" x14ac:dyDescent="0.2">
      <c r="A8" s="1"/>
      <c r="B8" s="9">
        <v>20</v>
      </c>
      <c r="C8" s="11">
        <v>21</v>
      </c>
      <c r="D8" s="11">
        <v>22</v>
      </c>
      <c r="E8" s="11">
        <v>23</v>
      </c>
      <c r="F8" s="11">
        <v>24</v>
      </c>
      <c r="G8" s="11">
        <v>25</v>
      </c>
      <c r="H8" s="9">
        <v>26</v>
      </c>
      <c r="I8" s="7"/>
      <c r="J8" s="9">
        <v>17</v>
      </c>
      <c r="K8" s="11">
        <v>18</v>
      </c>
      <c r="L8" s="11">
        <v>19</v>
      </c>
      <c r="M8" s="11">
        <v>20</v>
      </c>
      <c r="N8" s="11">
        <v>21</v>
      </c>
      <c r="O8" s="11">
        <v>22</v>
      </c>
      <c r="P8" s="9">
        <v>23</v>
      </c>
      <c r="Q8" s="5"/>
    </row>
    <row r="9" spans="1:17" x14ac:dyDescent="0.2">
      <c r="A9" s="1"/>
      <c r="B9" s="11">
        <v>27</v>
      </c>
      <c r="C9" s="11">
        <v>28</v>
      </c>
      <c r="D9" s="11">
        <v>29</v>
      </c>
      <c r="E9" s="11">
        <v>30</v>
      </c>
      <c r="F9" s="11">
        <v>31</v>
      </c>
      <c r="G9" s="299"/>
      <c r="H9" s="292"/>
      <c r="I9" s="13"/>
      <c r="J9" s="12">
        <v>24</v>
      </c>
      <c r="K9" s="11">
        <v>25</v>
      </c>
      <c r="L9" s="11">
        <v>26</v>
      </c>
      <c r="M9" s="9">
        <v>27</v>
      </c>
      <c r="N9" s="11">
        <v>28</v>
      </c>
      <c r="O9" s="299"/>
      <c r="P9" s="292"/>
      <c r="Q9" s="5"/>
    </row>
    <row r="10" spans="1:17" ht="6" customHeight="1" x14ac:dyDescent="0.2">
      <c r="A10" s="1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</row>
    <row r="11" spans="1:17" x14ac:dyDescent="0.2">
      <c r="A11" s="1"/>
      <c r="B11" s="290" t="s">
        <v>7</v>
      </c>
      <c r="C11" s="290"/>
      <c r="D11" s="290"/>
      <c r="E11" s="290"/>
      <c r="F11" s="290"/>
      <c r="G11" s="290"/>
      <c r="H11" s="290"/>
      <c r="I11" s="4"/>
      <c r="J11" s="290" t="s">
        <v>8</v>
      </c>
      <c r="K11" s="290"/>
      <c r="L11" s="290"/>
      <c r="M11" s="290"/>
      <c r="N11" s="290"/>
      <c r="O11" s="290"/>
      <c r="P11" s="290"/>
      <c r="Q11" s="5"/>
    </row>
    <row r="12" spans="1:17" x14ac:dyDescent="0.2">
      <c r="A12" s="1"/>
      <c r="B12" s="6" t="s">
        <v>2</v>
      </c>
      <c r="C12" s="6" t="s">
        <v>3</v>
      </c>
      <c r="D12" s="6" t="s">
        <v>4</v>
      </c>
      <c r="E12" s="6" t="s">
        <v>5</v>
      </c>
      <c r="F12" s="6" t="s">
        <v>4</v>
      </c>
      <c r="G12" s="6" t="s">
        <v>6</v>
      </c>
      <c r="H12" s="6" t="s">
        <v>2</v>
      </c>
      <c r="I12" s="4"/>
      <c r="J12" s="6" t="s">
        <v>2</v>
      </c>
      <c r="K12" s="6" t="s">
        <v>3</v>
      </c>
      <c r="L12" s="6" t="s">
        <v>4</v>
      </c>
      <c r="M12" s="6" t="s">
        <v>5</v>
      </c>
      <c r="N12" s="6" t="s">
        <v>4</v>
      </c>
      <c r="O12" s="6" t="s">
        <v>6</v>
      </c>
      <c r="P12" s="6" t="s">
        <v>2</v>
      </c>
      <c r="Q12" s="5"/>
    </row>
    <row r="13" spans="1:17" x14ac:dyDescent="0.2">
      <c r="A13" s="1"/>
      <c r="B13" s="299"/>
      <c r="C13" s="292"/>
      <c r="D13" s="292"/>
      <c r="E13" s="292"/>
      <c r="F13" s="292"/>
      <c r="G13" s="8">
        <v>1</v>
      </c>
      <c r="H13" s="9">
        <v>2</v>
      </c>
      <c r="I13" s="4"/>
      <c r="J13" s="10"/>
      <c r="K13" s="11">
        <v>1</v>
      </c>
      <c r="L13" s="11">
        <v>2</v>
      </c>
      <c r="M13" s="11">
        <v>3</v>
      </c>
      <c r="N13" s="11">
        <v>4</v>
      </c>
      <c r="O13" s="11">
        <v>5</v>
      </c>
      <c r="P13" s="11">
        <v>6</v>
      </c>
      <c r="Q13" s="5"/>
    </row>
    <row r="14" spans="1:17" x14ac:dyDescent="0.2">
      <c r="A14" s="1"/>
      <c r="B14" s="9">
        <v>3</v>
      </c>
      <c r="C14" s="11">
        <v>4</v>
      </c>
      <c r="D14" s="11">
        <v>5</v>
      </c>
      <c r="E14" s="11">
        <v>6</v>
      </c>
      <c r="F14" s="11">
        <v>7</v>
      </c>
      <c r="G14" s="11">
        <v>8</v>
      </c>
      <c r="H14" s="9">
        <v>9</v>
      </c>
      <c r="I14" s="4"/>
      <c r="J14" s="9">
        <v>7</v>
      </c>
      <c r="K14" s="11">
        <v>8</v>
      </c>
      <c r="L14" s="11">
        <v>9</v>
      </c>
      <c r="M14" s="11">
        <v>10</v>
      </c>
      <c r="N14" s="11">
        <v>11</v>
      </c>
      <c r="O14" s="11">
        <v>12</v>
      </c>
      <c r="P14" s="9">
        <v>13</v>
      </c>
      <c r="Q14" s="5"/>
    </row>
    <row r="15" spans="1:17" x14ac:dyDescent="0.2">
      <c r="A15" s="1"/>
      <c r="B15" s="9">
        <v>10</v>
      </c>
      <c r="C15" s="11">
        <v>11</v>
      </c>
      <c r="D15" s="11">
        <v>12</v>
      </c>
      <c r="E15" s="11">
        <v>13</v>
      </c>
      <c r="F15" s="11">
        <v>14</v>
      </c>
      <c r="G15" s="11">
        <v>15</v>
      </c>
      <c r="H15" s="9">
        <v>16</v>
      </c>
      <c r="I15" s="4"/>
      <c r="J15" s="9">
        <v>14</v>
      </c>
      <c r="K15" s="11">
        <v>15</v>
      </c>
      <c r="L15" s="11">
        <v>16</v>
      </c>
      <c r="M15" s="11">
        <v>17</v>
      </c>
      <c r="N15" s="11">
        <v>18</v>
      </c>
      <c r="O15" s="11">
        <v>19</v>
      </c>
      <c r="P15" s="9">
        <v>20</v>
      </c>
      <c r="Q15" s="5"/>
    </row>
    <row r="16" spans="1:17" x14ac:dyDescent="0.2">
      <c r="A16" s="1"/>
      <c r="B16" s="9">
        <v>17</v>
      </c>
      <c r="C16" s="11">
        <v>18</v>
      </c>
      <c r="D16" s="11">
        <v>19</v>
      </c>
      <c r="E16" s="11">
        <v>20</v>
      </c>
      <c r="F16" s="11">
        <v>21</v>
      </c>
      <c r="G16" s="11">
        <v>22</v>
      </c>
      <c r="H16" s="9">
        <v>23</v>
      </c>
      <c r="I16" s="4"/>
      <c r="J16" s="9">
        <v>21</v>
      </c>
      <c r="K16" s="11">
        <v>22</v>
      </c>
      <c r="L16" s="11">
        <v>23</v>
      </c>
      <c r="M16" s="11">
        <v>24</v>
      </c>
      <c r="N16" s="11">
        <v>25</v>
      </c>
      <c r="O16" s="11">
        <v>26</v>
      </c>
      <c r="P16" s="9">
        <v>27</v>
      </c>
      <c r="Q16" s="5"/>
    </row>
    <row r="17" spans="1:17" x14ac:dyDescent="0.2">
      <c r="A17" s="1"/>
      <c r="B17" s="9">
        <v>24</v>
      </c>
      <c r="C17" s="11">
        <v>25</v>
      </c>
      <c r="D17" s="11">
        <v>26</v>
      </c>
      <c r="E17" s="11">
        <v>27</v>
      </c>
      <c r="F17" s="11">
        <v>28</v>
      </c>
      <c r="G17" s="11">
        <v>29</v>
      </c>
      <c r="H17" s="9">
        <v>30</v>
      </c>
      <c r="I17" s="4"/>
      <c r="J17" s="9">
        <v>28</v>
      </c>
      <c r="K17" s="11">
        <v>29</v>
      </c>
      <c r="L17" s="12">
        <v>30</v>
      </c>
      <c r="M17" s="299"/>
      <c r="N17" s="292"/>
      <c r="O17" s="292"/>
      <c r="P17" s="292"/>
      <c r="Q17" s="5"/>
    </row>
    <row r="18" spans="1:17" x14ac:dyDescent="0.2">
      <c r="A18" s="1"/>
      <c r="B18" s="9">
        <v>31</v>
      </c>
      <c r="C18" s="299"/>
      <c r="D18" s="292"/>
      <c r="E18" s="292"/>
      <c r="F18" s="292"/>
      <c r="G18" s="292"/>
      <c r="H18" s="292"/>
      <c r="I18" s="4"/>
      <c r="J18" s="16"/>
      <c r="K18" s="14"/>
      <c r="L18" s="15"/>
      <c r="M18" s="15"/>
      <c r="N18" s="15"/>
      <c r="O18" s="15"/>
      <c r="P18" s="15"/>
    </row>
    <row r="19" spans="1:17" ht="6" customHeight="1" x14ac:dyDescent="0.2">
      <c r="A19" s="1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</row>
    <row r="20" spans="1:17" x14ac:dyDescent="0.2">
      <c r="A20" s="1"/>
      <c r="B20" s="290" t="s">
        <v>9</v>
      </c>
      <c r="C20" s="290"/>
      <c r="D20" s="290"/>
      <c r="E20" s="290"/>
      <c r="F20" s="290"/>
      <c r="G20" s="290"/>
      <c r="H20" s="290"/>
      <c r="I20" s="4"/>
      <c r="J20" s="290" t="s">
        <v>10</v>
      </c>
      <c r="K20" s="290"/>
      <c r="L20" s="290"/>
      <c r="M20" s="290"/>
      <c r="N20" s="290"/>
      <c r="O20" s="290"/>
      <c r="P20" s="290"/>
      <c r="Q20" s="5"/>
    </row>
    <row r="21" spans="1:17" x14ac:dyDescent="0.2">
      <c r="A21" s="1"/>
      <c r="B21" s="6" t="s">
        <v>2</v>
      </c>
      <c r="C21" s="6" t="s">
        <v>3</v>
      </c>
      <c r="D21" s="6" t="s">
        <v>4</v>
      </c>
      <c r="E21" s="6" t="s">
        <v>5</v>
      </c>
      <c r="F21" s="6" t="s">
        <v>4</v>
      </c>
      <c r="G21" s="6" t="s">
        <v>6</v>
      </c>
      <c r="H21" s="6" t="s">
        <v>2</v>
      </c>
      <c r="I21" s="4"/>
      <c r="J21" s="6" t="s">
        <v>2</v>
      </c>
      <c r="K21" s="6" t="s">
        <v>3</v>
      </c>
      <c r="L21" s="6" t="s">
        <v>4</v>
      </c>
      <c r="M21" s="6" t="s">
        <v>5</v>
      </c>
      <c r="N21" s="6" t="s">
        <v>4</v>
      </c>
      <c r="O21" s="6" t="s">
        <v>6</v>
      </c>
      <c r="P21" s="6" t="s">
        <v>2</v>
      </c>
      <c r="Q21" s="5"/>
    </row>
    <row r="22" spans="1:17" x14ac:dyDescent="0.2">
      <c r="A22" s="1"/>
      <c r="B22" s="299"/>
      <c r="C22" s="292"/>
      <c r="D22" s="292"/>
      <c r="E22" s="11">
        <v>1</v>
      </c>
      <c r="F22" s="11">
        <v>2</v>
      </c>
      <c r="G22" s="11">
        <v>3</v>
      </c>
      <c r="H22" s="9">
        <v>4</v>
      </c>
      <c r="I22" s="4"/>
      <c r="J22" s="299"/>
      <c r="K22" s="292"/>
      <c r="L22" s="292"/>
      <c r="M22" s="292"/>
      <c r="N22" s="292"/>
      <c r="O22" s="292"/>
      <c r="P22" s="11">
        <v>1</v>
      </c>
      <c r="Q22" s="5"/>
    </row>
    <row r="23" spans="1:17" x14ac:dyDescent="0.2">
      <c r="A23" s="1"/>
      <c r="B23" s="9">
        <v>5</v>
      </c>
      <c r="C23" s="11">
        <v>6</v>
      </c>
      <c r="D23" s="11">
        <v>7</v>
      </c>
      <c r="E23" s="11">
        <v>8</v>
      </c>
      <c r="F23" s="11">
        <v>9</v>
      </c>
      <c r="G23" s="11">
        <v>10</v>
      </c>
      <c r="H23" s="9">
        <v>11</v>
      </c>
      <c r="I23" s="4"/>
      <c r="J23" s="9">
        <v>2</v>
      </c>
      <c r="K23" s="11">
        <v>3</v>
      </c>
      <c r="L23" s="11">
        <v>4</v>
      </c>
      <c r="M23" s="11">
        <v>5</v>
      </c>
      <c r="N23" s="11">
        <v>6</v>
      </c>
      <c r="O23" s="11">
        <v>7</v>
      </c>
      <c r="P23" s="9">
        <v>8</v>
      </c>
      <c r="Q23" s="5"/>
    </row>
    <row r="24" spans="1:17" x14ac:dyDescent="0.2">
      <c r="A24" s="1"/>
      <c r="B24" s="9">
        <v>12</v>
      </c>
      <c r="C24" s="11">
        <v>13</v>
      </c>
      <c r="D24" s="11">
        <v>14</v>
      </c>
      <c r="E24" s="11">
        <v>15</v>
      </c>
      <c r="F24" s="11">
        <v>16</v>
      </c>
      <c r="G24" s="11">
        <v>17</v>
      </c>
      <c r="H24" s="9">
        <v>18</v>
      </c>
      <c r="I24" s="4"/>
      <c r="J24" s="9">
        <v>9</v>
      </c>
      <c r="K24" s="11">
        <v>10</v>
      </c>
      <c r="L24" s="11">
        <v>11</v>
      </c>
      <c r="M24" s="11">
        <v>12</v>
      </c>
      <c r="N24" s="11">
        <v>13</v>
      </c>
      <c r="O24" s="11">
        <v>14</v>
      </c>
      <c r="P24" s="9">
        <v>15</v>
      </c>
      <c r="Q24" s="5"/>
    </row>
    <row r="25" spans="1:17" x14ac:dyDescent="0.2">
      <c r="A25" s="1"/>
      <c r="B25" s="9">
        <v>19</v>
      </c>
      <c r="C25" s="11">
        <v>20</v>
      </c>
      <c r="D25" s="11">
        <v>21</v>
      </c>
      <c r="E25" s="11">
        <v>22</v>
      </c>
      <c r="F25" s="11">
        <v>23</v>
      </c>
      <c r="G25" s="11">
        <v>24</v>
      </c>
      <c r="H25" s="9">
        <v>25</v>
      </c>
      <c r="I25" s="4"/>
      <c r="J25" s="9">
        <v>16</v>
      </c>
      <c r="K25" s="11">
        <v>17</v>
      </c>
      <c r="L25" s="11">
        <v>18</v>
      </c>
      <c r="M25" s="11">
        <v>19</v>
      </c>
      <c r="N25" s="11">
        <v>20</v>
      </c>
      <c r="O25" s="11">
        <v>21</v>
      </c>
      <c r="P25" s="9">
        <v>22</v>
      </c>
      <c r="Q25" s="5"/>
    </row>
    <row r="26" spans="1:17" x14ac:dyDescent="0.2">
      <c r="A26" s="1"/>
      <c r="B26" s="11">
        <v>26</v>
      </c>
      <c r="C26" s="11">
        <v>27</v>
      </c>
      <c r="D26" s="11">
        <v>28</v>
      </c>
      <c r="E26" s="11">
        <v>29</v>
      </c>
      <c r="F26" s="11">
        <v>30</v>
      </c>
      <c r="G26" s="11">
        <v>31</v>
      </c>
      <c r="H26" s="10"/>
      <c r="I26" s="4"/>
      <c r="J26" s="9">
        <v>23</v>
      </c>
      <c r="K26" s="11">
        <v>24</v>
      </c>
      <c r="L26" s="12">
        <v>25</v>
      </c>
      <c r="M26" s="12">
        <v>26</v>
      </c>
      <c r="N26" s="12">
        <v>27</v>
      </c>
      <c r="O26" s="12">
        <v>28</v>
      </c>
      <c r="P26" s="12">
        <v>29</v>
      </c>
      <c r="Q26" s="5"/>
    </row>
    <row r="27" spans="1:17" x14ac:dyDescent="0.2">
      <c r="A27" s="1"/>
      <c r="B27" s="14"/>
      <c r="C27" s="14"/>
      <c r="D27" s="14"/>
      <c r="E27" s="14"/>
      <c r="F27" s="14"/>
      <c r="G27" s="14"/>
      <c r="H27" s="16"/>
      <c r="I27" s="4"/>
      <c r="J27" s="9">
        <v>30</v>
      </c>
      <c r="K27" s="299"/>
      <c r="L27" s="292"/>
      <c r="M27" s="292"/>
      <c r="N27" s="292"/>
      <c r="O27" s="292"/>
      <c r="P27" s="292"/>
      <c r="Q27" s="5"/>
    </row>
    <row r="28" spans="1:17" ht="6" customHeight="1" x14ac:dyDescent="0.2">
      <c r="A28" s="1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</row>
    <row r="29" spans="1:17" x14ac:dyDescent="0.2">
      <c r="A29" s="1"/>
      <c r="B29" s="290" t="s">
        <v>11</v>
      </c>
      <c r="C29" s="290"/>
      <c r="D29" s="290"/>
      <c r="E29" s="290"/>
      <c r="F29" s="290"/>
      <c r="G29" s="290"/>
      <c r="H29" s="290"/>
      <c r="I29" s="4"/>
      <c r="J29" s="290" t="s">
        <v>12</v>
      </c>
      <c r="K29" s="290"/>
      <c r="L29" s="290"/>
      <c r="M29" s="290"/>
      <c r="N29" s="290"/>
      <c r="O29" s="290"/>
      <c r="P29" s="290"/>
      <c r="Q29" s="5"/>
    </row>
    <row r="30" spans="1:17" x14ac:dyDescent="0.2">
      <c r="A30" s="1"/>
      <c r="B30" s="6" t="s">
        <v>2</v>
      </c>
      <c r="C30" s="6" t="s">
        <v>3</v>
      </c>
      <c r="D30" s="6" t="s">
        <v>4</v>
      </c>
      <c r="E30" s="6" t="s">
        <v>5</v>
      </c>
      <c r="F30" s="6" t="s">
        <v>4</v>
      </c>
      <c r="G30" s="6" t="s">
        <v>6</v>
      </c>
      <c r="H30" s="6" t="s">
        <v>2</v>
      </c>
      <c r="I30" s="4"/>
      <c r="J30" s="6" t="s">
        <v>2</v>
      </c>
      <c r="K30" s="6" t="s">
        <v>3</v>
      </c>
      <c r="L30" s="6" t="s">
        <v>4</v>
      </c>
      <c r="M30" s="6" t="s">
        <v>5</v>
      </c>
      <c r="N30" s="6" t="s">
        <v>4</v>
      </c>
      <c r="O30" s="6" t="s">
        <v>6</v>
      </c>
      <c r="P30" s="6" t="s">
        <v>2</v>
      </c>
      <c r="Q30" s="5"/>
    </row>
    <row r="31" spans="1:17" x14ac:dyDescent="0.2">
      <c r="A31" s="1"/>
      <c r="B31" s="10"/>
      <c r="C31" s="11">
        <v>1</v>
      </c>
      <c r="D31" s="11">
        <v>2</v>
      </c>
      <c r="E31" s="11">
        <v>3</v>
      </c>
      <c r="F31" s="11">
        <v>4</v>
      </c>
      <c r="G31" s="8">
        <v>5</v>
      </c>
      <c r="H31" s="9">
        <v>6</v>
      </c>
      <c r="I31" s="4"/>
      <c r="J31" s="299"/>
      <c r="K31" s="292"/>
      <c r="L31" s="292"/>
      <c r="M31" s="292"/>
      <c r="N31" s="11">
        <v>1</v>
      </c>
      <c r="O31" s="11">
        <v>2</v>
      </c>
      <c r="P31" s="11">
        <v>3</v>
      </c>
      <c r="Q31" s="5"/>
    </row>
    <row r="32" spans="1:17" x14ac:dyDescent="0.2">
      <c r="A32" s="1"/>
      <c r="B32" s="9">
        <v>7</v>
      </c>
      <c r="C32" s="11">
        <v>8</v>
      </c>
      <c r="D32" s="11">
        <v>9</v>
      </c>
      <c r="E32" s="11">
        <v>10</v>
      </c>
      <c r="F32" s="11">
        <v>11</v>
      </c>
      <c r="G32" s="11">
        <v>12</v>
      </c>
      <c r="H32" s="9">
        <v>13</v>
      </c>
      <c r="I32" s="4"/>
      <c r="J32" s="9">
        <v>4</v>
      </c>
      <c r="K32" s="11">
        <v>5</v>
      </c>
      <c r="L32" s="11">
        <v>6</v>
      </c>
      <c r="M32" s="11">
        <v>7</v>
      </c>
      <c r="N32" s="11">
        <v>8</v>
      </c>
      <c r="O32" s="11">
        <v>9</v>
      </c>
      <c r="P32" s="9">
        <v>10</v>
      </c>
      <c r="Q32" s="5"/>
    </row>
    <row r="33" spans="1:17" x14ac:dyDescent="0.2">
      <c r="A33" s="1"/>
      <c r="B33" s="9">
        <v>14</v>
      </c>
      <c r="C33" s="11">
        <v>15</v>
      </c>
      <c r="D33" s="11">
        <v>16</v>
      </c>
      <c r="E33" s="11">
        <v>17</v>
      </c>
      <c r="F33" s="11">
        <v>18</v>
      </c>
      <c r="G33" s="11">
        <v>19</v>
      </c>
      <c r="H33" s="9">
        <v>20</v>
      </c>
      <c r="I33" s="4"/>
      <c r="J33" s="9">
        <v>11</v>
      </c>
      <c r="K33" s="11">
        <v>12</v>
      </c>
      <c r="L33" s="11">
        <v>13</v>
      </c>
      <c r="M33" s="11">
        <v>14</v>
      </c>
      <c r="N33" s="11">
        <v>15</v>
      </c>
      <c r="O33" s="11">
        <v>16</v>
      </c>
      <c r="P33" s="9">
        <v>17</v>
      </c>
      <c r="Q33" s="5"/>
    </row>
    <row r="34" spans="1:17" x14ac:dyDescent="0.2">
      <c r="A34" s="1"/>
      <c r="B34" s="9">
        <v>21</v>
      </c>
      <c r="C34" s="11">
        <v>22</v>
      </c>
      <c r="D34" s="11">
        <v>23</v>
      </c>
      <c r="E34" s="11">
        <v>24</v>
      </c>
      <c r="F34" s="11">
        <v>25</v>
      </c>
      <c r="G34" s="11">
        <v>26</v>
      </c>
      <c r="H34" s="9">
        <v>27</v>
      </c>
      <c r="I34" s="4"/>
      <c r="J34" s="9">
        <v>18</v>
      </c>
      <c r="K34" s="11">
        <v>19</v>
      </c>
      <c r="L34" s="11">
        <v>20</v>
      </c>
      <c r="M34" s="11">
        <v>21</v>
      </c>
      <c r="N34" s="11">
        <v>22</v>
      </c>
      <c r="O34" s="11">
        <v>23</v>
      </c>
      <c r="P34" s="9">
        <v>24</v>
      </c>
      <c r="Q34" s="5"/>
    </row>
    <row r="35" spans="1:17" x14ac:dyDescent="0.2">
      <c r="A35" s="1"/>
      <c r="B35" s="9">
        <v>28</v>
      </c>
      <c r="C35" s="11">
        <v>29</v>
      </c>
      <c r="D35" s="11">
        <v>30</v>
      </c>
      <c r="E35" s="11">
        <v>31</v>
      </c>
      <c r="F35" s="299"/>
      <c r="G35" s="292"/>
      <c r="H35" s="292"/>
      <c r="I35" s="4"/>
      <c r="J35" s="9">
        <v>25</v>
      </c>
      <c r="K35" s="11">
        <v>26</v>
      </c>
      <c r="L35" s="12">
        <v>27</v>
      </c>
      <c r="M35" s="12">
        <v>28</v>
      </c>
      <c r="N35" s="12">
        <v>29</v>
      </c>
      <c r="O35" s="12">
        <v>30</v>
      </c>
      <c r="P35" s="12">
        <v>31</v>
      </c>
      <c r="Q35" s="5"/>
    </row>
    <row r="36" spans="1:17" ht="6" customHeight="1" x14ac:dyDescent="0.2">
      <c r="A36" s="1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</row>
    <row r="37" spans="1:17" x14ac:dyDescent="0.2">
      <c r="A37" s="1"/>
      <c r="B37" s="290" t="s">
        <v>13</v>
      </c>
      <c r="C37" s="290"/>
      <c r="D37" s="290"/>
      <c r="E37" s="290"/>
      <c r="F37" s="290"/>
      <c r="G37" s="290"/>
      <c r="H37" s="290"/>
      <c r="I37" s="4"/>
      <c r="J37" s="290" t="s">
        <v>14</v>
      </c>
      <c r="K37" s="290"/>
      <c r="L37" s="290"/>
      <c r="M37" s="290"/>
      <c r="N37" s="290"/>
      <c r="O37" s="290"/>
      <c r="P37" s="290"/>
      <c r="Q37" s="5"/>
    </row>
    <row r="38" spans="1:17" x14ac:dyDescent="0.2">
      <c r="A38" s="1"/>
      <c r="B38" s="6" t="s">
        <v>2</v>
      </c>
      <c r="C38" s="6" t="s">
        <v>3</v>
      </c>
      <c r="D38" s="6" t="s">
        <v>4</v>
      </c>
      <c r="E38" s="6" t="s">
        <v>5</v>
      </c>
      <c r="F38" s="6" t="s">
        <v>4</v>
      </c>
      <c r="G38" s="6" t="s">
        <v>6</v>
      </c>
      <c r="H38" s="6" t="s">
        <v>2</v>
      </c>
      <c r="I38" s="4"/>
      <c r="J38" s="6" t="s">
        <v>2</v>
      </c>
      <c r="K38" s="6" t="s">
        <v>3</v>
      </c>
      <c r="L38" s="6" t="s">
        <v>4</v>
      </c>
      <c r="M38" s="6" t="s">
        <v>5</v>
      </c>
      <c r="N38" s="6" t="s">
        <v>4</v>
      </c>
      <c r="O38" s="6" t="s">
        <v>6</v>
      </c>
      <c r="P38" s="6" t="s">
        <v>2</v>
      </c>
      <c r="Q38" s="5"/>
    </row>
    <row r="39" spans="1:17" x14ac:dyDescent="0.2">
      <c r="A39" s="1"/>
      <c r="B39" s="9">
        <v>1</v>
      </c>
      <c r="C39" s="11">
        <v>2</v>
      </c>
      <c r="D39" s="11">
        <v>3</v>
      </c>
      <c r="E39" s="11">
        <v>4</v>
      </c>
      <c r="F39" s="11">
        <v>5</v>
      </c>
      <c r="G39" s="8">
        <v>6</v>
      </c>
      <c r="H39" s="9">
        <v>7</v>
      </c>
      <c r="I39" s="4"/>
      <c r="J39" s="299"/>
      <c r="K39" s="292"/>
      <c r="L39" s="11">
        <v>1</v>
      </c>
      <c r="M39" s="11">
        <v>2</v>
      </c>
      <c r="N39" s="11">
        <v>3</v>
      </c>
      <c r="O39" s="11">
        <v>4</v>
      </c>
      <c r="P39" s="11">
        <v>5</v>
      </c>
      <c r="Q39" s="5"/>
    </row>
    <row r="40" spans="1:17" x14ac:dyDescent="0.2">
      <c r="A40" s="1"/>
      <c r="B40" s="9">
        <v>8</v>
      </c>
      <c r="C40" s="11">
        <v>9</v>
      </c>
      <c r="D40" s="11">
        <v>10</v>
      </c>
      <c r="E40" s="11">
        <v>11</v>
      </c>
      <c r="F40" s="11">
        <v>12</v>
      </c>
      <c r="G40" s="11">
        <v>13</v>
      </c>
      <c r="H40" s="9">
        <v>14</v>
      </c>
      <c r="I40" s="4"/>
      <c r="J40" s="9">
        <v>6</v>
      </c>
      <c r="K40" s="11">
        <v>7</v>
      </c>
      <c r="L40" s="11">
        <v>8</v>
      </c>
      <c r="M40" s="11">
        <v>9</v>
      </c>
      <c r="N40" s="11">
        <v>10</v>
      </c>
      <c r="O40" s="11">
        <v>11</v>
      </c>
      <c r="P40" s="9">
        <v>12</v>
      </c>
      <c r="Q40" s="5"/>
    </row>
    <row r="41" spans="1:17" x14ac:dyDescent="0.2">
      <c r="A41" s="1"/>
      <c r="B41" s="9">
        <v>15</v>
      </c>
      <c r="C41" s="11">
        <v>16</v>
      </c>
      <c r="D41" s="11">
        <v>17</v>
      </c>
      <c r="E41" s="11">
        <v>18</v>
      </c>
      <c r="F41" s="11">
        <v>19</v>
      </c>
      <c r="G41" s="11">
        <v>20</v>
      </c>
      <c r="H41" s="9">
        <v>21</v>
      </c>
      <c r="I41" s="4"/>
      <c r="J41" s="9">
        <v>13</v>
      </c>
      <c r="K41" s="11">
        <v>14</v>
      </c>
      <c r="L41" s="11">
        <v>15</v>
      </c>
      <c r="M41" s="11">
        <v>16</v>
      </c>
      <c r="N41" s="11">
        <v>17</v>
      </c>
      <c r="O41" s="11">
        <v>18</v>
      </c>
      <c r="P41" s="9">
        <v>19</v>
      </c>
      <c r="Q41" s="5"/>
    </row>
    <row r="42" spans="1:17" x14ac:dyDescent="0.2">
      <c r="A42" s="1"/>
      <c r="B42" s="9">
        <v>22</v>
      </c>
      <c r="C42" s="11">
        <v>23</v>
      </c>
      <c r="D42" s="11">
        <v>24</v>
      </c>
      <c r="E42" s="11">
        <v>25</v>
      </c>
      <c r="F42" s="11">
        <v>26</v>
      </c>
      <c r="G42" s="11">
        <v>27</v>
      </c>
      <c r="H42" s="9">
        <v>28</v>
      </c>
      <c r="I42" s="4"/>
      <c r="J42" s="9">
        <v>20</v>
      </c>
      <c r="K42" s="11">
        <v>21</v>
      </c>
      <c r="L42" s="11">
        <v>22</v>
      </c>
      <c r="M42" s="11">
        <v>23</v>
      </c>
      <c r="N42" s="11">
        <v>24</v>
      </c>
      <c r="O42" s="11">
        <v>25</v>
      </c>
      <c r="P42" s="9">
        <v>26</v>
      </c>
      <c r="Q42" s="5"/>
    </row>
    <row r="43" spans="1:17" x14ac:dyDescent="0.2">
      <c r="A43" s="1"/>
      <c r="B43" s="9">
        <v>29</v>
      </c>
      <c r="C43" s="11">
        <v>30</v>
      </c>
      <c r="D43" s="299"/>
      <c r="E43" s="292"/>
      <c r="F43" s="292"/>
      <c r="G43" s="292"/>
      <c r="H43" s="292"/>
      <c r="I43" s="4"/>
      <c r="J43" s="9">
        <v>27</v>
      </c>
      <c r="K43" s="11">
        <v>28</v>
      </c>
      <c r="L43" s="12">
        <v>29</v>
      </c>
      <c r="M43" s="12">
        <v>30</v>
      </c>
      <c r="N43" s="12">
        <v>31</v>
      </c>
      <c r="O43" s="299"/>
      <c r="P43" s="292"/>
      <c r="Q43" s="5"/>
    </row>
    <row r="44" spans="1:17" ht="6" customHeight="1" x14ac:dyDescent="0.2">
      <c r="A44" s="1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</row>
    <row r="45" spans="1:17" x14ac:dyDescent="0.2">
      <c r="A45" s="1"/>
      <c r="B45" s="290" t="s">
        <v>15</v>
      </c>
      <c r="C45" s="290"/>
      <c r="D45" s="290"/>
      <c r="E45" s="290"/>
      <c r="F45" s="290"/>
      <c r="G45" s="290"/>
      <c r="H45" s="290"/>
      <c r="I45" s="4"/>
      <c r="J45" s="290" t="s">
        <v>16</v>
      </c>
      <c r="K45" s="290"/>
      <c r="L45" s="290"/>
      <c r="M45" s="290"/>
      <c r="N45" s="290"/>
      <c r="O45" s="290"/>
      <c r="P45" s="290"/>
      <c r="Q45" s="5"/>
    </row>
    <row r="46" spans="1:17" x14ac:dyDescent="0.2">
      <c r="A46" s="1"/>
      <c r="B46" s="6" t="s">
        <v>2</v>
      </c>
      <c r="C46" s="6" t="s">
        <v>3</v>
      </c>
      <c r="D46" s="6" t="s">
        <v>4</v>
      </c>
      <c r="E46" s="6" t="s">
        <v>5</v>
      </c>
      <c r="F46" s="6" t="s">
        <v>4</v>
      </c>
      <c r="G46" s="6" t="s">
        <v>6</v>
      </c>
      <c r="H46" s="6" t="s">
        <v>2</v>
      </c>
      <c r="I46" s="4"/>
      <c r="J46" s="6" t="s">
        <v>2</v>
      </c>
      <c r="K46" s="6" t="s">
        <v>3</v>
      </c>
      <c r="L46" s="6" t="s">
        <v>4</v>
      </c>
      <c r="M46" s="6" t="s">
        <v>5</v>
      </c>
      <c r="N46" s="6" t="s">
        <v>4</v>
      </c>
      <c r="O46" s="6" t="s">
        <v>6</v>
      </c>
      <c r="P46" s="6" t="s">
        <v>2</v>
      </c>
      <c r="Q46" s="5"/>
    </row>
    <row r="47" spans="1:17" x14ac:dyDescent="0.2">
      <c r="A47" s="1"/>
      <c r="B47" s="299"/>
      <c r="C47" s="292"/>
      <c r="D47" s="292"/>
      <c r="E47" s="292"/>
      <c r="F47" s="292"/>
      <c r="G47" s="8">
        <v>1</v>
      </c>
      <c r="H47" s="9">
        <v>2</v>
      </c>
      <c r="I47" s="4"/>
      <c r="J47" s="9">
        <v>1</v>
      </c>
      <c r="K47" s="11">
        <v>2</v>
      </c>
      <c r="L47" s="11">
        <v>3</v>
      </c>
      <c r="M47" s="11">
        <v>4</v>
      </c>
      <c r="N47" s="11">
        <v>5</v>
      </c>
      <c r="O47" s="11">
        <v>6</v>
      </c>
      <c r="P47" s="11">
        <v>7</v>
      </c>
      <c r="Q47" s="5"/>
    </row>
    <row r="48" spans="1:17" x14ac:dyDescent="0.2">
      <c r="A48" s="1"/>
      <c r="B48" s="9">
        <v>3</v>
      </c>
      <c r="C48" s="11">
        <v>4</v>
      </c>
      <c r="D48" s="11">
        <v>5</v>
      </c>
      <c r="E48" s="11">
        <v>6</v>
      </c>
      <c r="F48" s="11">
        <v>7</v>
      </c>
      <c r="G48" s="11">
        <v>8</v>
      </c>
      <c r="H48" s="9">
        <v>9</v>
      </c>
      <c r="I48" s="4"/>
      <c r="J48" s="9">
        <v>8</v>
      </c>
      <c r="K48" s="11">
        <v>9</v>
      </c>
      <c r="L48" s="11">
        <v>10</v>
      </c>
      <c r="M48" s="11">
        <v>11</v>
      </c>
      <c r="N48" s="11">
        <v>12</v>
      </c>
      <c r="O48" s="11">
        <v>13</v>
      </c>
      <c r="P48" s="9">
        <v>14</v>
      </c>
      <c r="Q48" s="5"/>
    </row>
    <row r="49" spans="1:17" x14ac:dyDescent="0.2">
      <c r="A49" s="1"/>
      <c r="B49" s="9">
        <v>10</v>
      </c>
      <c r="C49" s="11">
        <v>11</v>
      </c>
      <c r="D49" s="11">
        <v>12</v>
      </c>
      <c r="E49" s="11">
        <v>13</v>
      </c>
      <c r="F49" s="11">
        <v>14</v>
      </c>
      <c r="G49" s="11">
        <v>15</v>
      </c>
      <c r="H49" s="9">
        <v>16</v>
      </c>
      <c r="I49" s="4"/>
      <c r="J49" s="9">
        <v>15</v>
      </c>
      <c r="K49" s="11">
        <v>16</v>
      </c>
      <c r="L49" s="11">
        <v>17</v>
      </c>
      <c r="M49" s="11">
        <v>18</v>
      </c>
      <c r="N49" s="11">
        <v>19</v>
      </c>
      <c r="O49" s="11">
        <v>20</v>
      </c>
      <c r="P49" s="9">
        <v>21</v>
      </c>
      <c r="Q49" s="5"/>
    </row>
    <row r="50" spans="1:17" x14ac:dyDescent="0.2">
      <c r="A50" s="1"/>
      <c r="B50" s="9">
        <v>17</v>
      </c>
      <c r="C50" s="11">
        <v>18</v>
      </c>
      <c r="D50" s="11">
        <v>19</v>
      </c>
      <c r="E50" s="11">
        <v>20</v>
      </c>
      <c r="F50" s="11">
        <v>21</v>
      </c>
      <c r="G50" s="11">
        <v>22</v>
      </c>
      <c r="H50" s="9">
        <v>23</v>
      </c>
      <c r="I50" s="4"/>
      <c r="J50" s="9">
        <v>22</v>
      </c>
      <c r="K50" s="11">
        <v>23</v>
      </c>
      <c r="L50" s="11">
        <v>24</v>
      </c>
      <c r="M50" s="11">
        <v>25</v>
      </c>
      <c r="N50" s="11">
        <v>26</v>
      </c>
      <c r="O50" s="11">
        <v>27</v>
      </c>
      <c r="P50" s="9">
        <v>28</v>
      </c>
      <c r="Q50" s="5"/>
    </row>
    <row r="51" spans="1:17" x14ac:dyDescent="0.2">
      <c r="A51" s="1"/>
      <c r="B51" s="9">
        <v>24</v>
      </c>
      <c r="C51" s="11">
        <v>25</v>
      </c>
      <c r="D51" s="11">
        <v>26</v>
      </c>
      <c r="E51" s="11">
        <v>27</v>
      </c>
      <c r="F51" s="11">
        <v>28</v>
      </c>
      <c r="G51" s="11">
        <v>29</v>
      </c>
      <c r="H51" s="9">
        <v>30</v>
      </c>
      <c r="I51" s="4"/>
      <c r="J51" s="9">
        <v>29</v>
      </c>
      <c r="K51" s="11">
        <v>30</v>
      </c>
      <c r="L51" s="12">
        <v>31</v>
      </c>
      <c r="M51" s="299"/>
      <c r="N51" s="292"/>
      <c r="O51" s="292"/>
      <c r="P51" s="292"/>
      <c r="Q51" s="5"/>
    </row>
    <row r="52" spans="1:17" x14ac:dyDescent="0.2">
      <c r="B52" s="17"/>
      <c r="C52" s="17"/>
      <c r="D52" s="17"/>
      <c r="E52" s="17"/>
      <c r="F52" s="17"/>
      <c r="G52" s="17"/>
      <c r="H52" s="17"/>
      <c r="J52" s="17"/>
      <c r="K52" s="17"/>
      <c r="L52" s="17"/>
      <c r="M52" s="17"/>
      <c r="N52" s="17"/>
      <c r="O52" s="17"/>
      <c r="P52" s="17"/>
    </row>
  </sheetData>
  <mergeCells count="30">
    <mergeCell ref="B45:H45"/>
    <mergeCell ref="J45:P45"/>
    <mergeCell ref="B47:F47"/>
    <mergeCell ref="M51:P51"/>
    <mergeCell ref="F35:H35"/>
    <mergeCell ref="B37:H37"/>
    <mergeCell ref="J37:P37"/>
    <mergeCell ref="J39:K39"/>
    <mergeCell ref="D43:H43"/>
    <mergeCell ref="O43:P43"/>
    <mergeCell ref="J31:M31"/>
    <mergeCell ref="B11:H11"/>
    <mergeCell ref="J11:P11"/>
    <mergeCell ref="B13:F13"/>
    <mergeCell ref="M17:P17"/>
    <mergeCell ref="C18:H18"/>
    <mergeCell ref="B20:H20"/>
    <mergeCell ref="J20:P20"/>
    <mergeCell ref="B22:D22"/>
    <mergeCell ref="J22:O22"/>
    <mergeCell ref="K27:P27"/>
    <mergeCell ref="B29:H29"/>
    <mergeCell ref="J29:P29"/>
    <mergeCell ref="G9:H9"/>
    <mergeCell ref="O9:P9"/>
    <mergeCell ref="B1:P1"/>
    <mergeCell ref="B3:H3"/>
    <mergeCell ref="J3:P3"/>
    <mergeCell ref="B5:C5"/>
    <mergeCell ref="J5:N5"/>
  </mergeCells>
  <printOptions horizontalCentered="1"/>
  <pageMargins left="0.75" right="0.75" top="0.75" bottom="0.5" header="0.5" footer="0.5"/>
  <pageSetup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0"/>
  <sheetViews>
    <sheetView zoomScaleNormal="100" workbookViewId="0"/>
  </sheetViews>
  <sheetFormatPr defaultRowHeight="12.75" x14ac:dyDescent="0.2"/>
  <cols>
    <col min="1" max="1" width="4.85546875" customWidth="1"/>
    <col min="2" max="2" width="17.85546875" customWidth="1"/>
    <col min="3" max="3" width="11.7109375" customWidth="1"/>
    <col min="4" max="4" width="9.28515625" style="122" customWidth="1"/>
    <col min="5" max="5" width="9.28515625" customWidth="1"/>
    <col min="6" max="6" width="10.28515625" customWidth="1"/>
    <col min="7" max="8" width="9.28515625" customWidth="1"/>
    <col min="9" max="9" width="9.42578125" customWidth="1"/>
    <col min="10" max="10" width="8.28515625" customWidth="1"/>
  </cols>
  <sheetData>
    <row r="1" spans="1:31" ht="17.25" thickBot="1" x14ac:dyDescent="0.35">
      <c r="A1" s="223"/>
      <c r="B1" s="223"/>
      <c r="C1" s="224" t="s">
        <v>29</v>
      </c>
      <c r="D1" s="225"/>
      <c r="E1" s="223"/>
      <c r="F1" s="226" t="s">
        <v>177</v>
      </c>
      <c r="G1" s="227"/>
      <c r="H1" s="228"/>
      <c r="I1" s="223"/>
      <c r="J1" s="229"/>
      <c r="K1" s="222"/>
      <c r="L1" s="222"/>
      <c r="M1" s="222"/>
      <c r="N1" s="222"/>
      <c r="O1" s="222"/>
      <c r="P1" s="222"/>
      <c r="Q1" s="222"/>
      <c r="R1" s="222"/>
      <c r="S1" s="222"/>
      <c r="T1" s="222"/>
      <c r="U1" s="222"/>
      <c r="V1" s="222"/>
      <c r="W1" s="222"/>
      <c r="X1" s="222"/>
      <c r="Y1" s="222"/>
      <c r="Z1" s="222"/>
      <c r="AA1" s="222"/>
      <c r="AB1" s="222"/>
      <c r="AC1" s="222"/>
      <c r="AD1" s="222"/>
      <c r="AE1" s="222"/>
    </row>
    <row r="2" spans="1:31" ht="16.5" x14ac:dyDescent="0.3">
      <c r="A2" s="223" t="s">
        <v>30</v>
      </c>
      <c r="B2" s="223"/>
      <c r="C2" s="230" t="s">
        <v>31</v>
      </c>
      <c r="D2" s="225"/>
      <c r="E2" s="230"/>
      <c r="F2" s="223"/>
      <c r="G2" s="223"/>
      <c r="H2" s="223"/>
      <c r="I2" s="223"/>
      <c r="J2" s="229"/>
      <c r="K2" s="222"/>
      <c r="L2" s="222"/>
      <c r="M2" s="222"/>
      <c r="N2" s="222"/>
      <c r="O2" s="222"/>
      <c r="P2" s="222"/>
      <c r="Q2" s="222"/>
      <c r="R2" s="222"/>
      <c r="S2" s="222"/>
      <c r="T2" s="222"/>
      <c r="U2" s="222"/>
      <c r="V2" s="222"/>
      <c r="W2" s="222"/>
      <c r="X2" s="222"/>
      <c r="Y2" s="222"/>
      <c r="Z2" s="222"/>
      <c r="AA2" s="222"/>
      <c r="AB2" s="222"/>
      <c r="AC2" s="222"/>
      <c r="AD2" s="222"/>
      <c r="AE2" s="222"/>
    </row>
    <row r="3" spans="1:31" ht="16.5" x14ac:dyDescent="0.3">
      <c r="A3" s="223" t="s">
        <v>32</v>
      </c>
      <c r="B3" s="223"/>
      <c r="C3" s="230">
        <v>13</v>
      </c>
      <c r="D3" s="225"/>
      <c r="E3" s="223"/>
      <c r="F3" s="223"/>
      <c r="G3" s="223"/>
      <c r="H3" s="223"/>
      <c r="I3" s="223"/>
      <c r="J3" s="229"/>
      <c r="K3" s="222"/>
      <c r="L3" s="222"/>
      <c r="M3" s="222"/>
      <c r="N3" s="222"/>
      <c r="O3" s="222"/>
      <c r="P3" s="222"/>
      <c r="Q3" s="222"/>
      <c r="R3" s="222"/>
      <c r="S3" s="222"/>
      <c r="T3" s="222"/>
      <c r="U3" s="222"/>
      <c r="V3" s="222"/>
      <c r="W3" s="222"/>
      <c r="X3" s="222"/>
      <c r="Y3" s="222"/>
      <c r="Z3" s="222"/>
      <c r="AA3" s="222"/>
      <c r="AB3" s="222"/>
      <c r="AC3" s="222"/>
      <c r="AD3" s="222"/>
      <c r="AE3" s="222"/>
    </row>
    <row r="4" spans="1:31" ht="16.5" x14ac:dyDescent="0.3">
      <c r="A4" s="223" t="s">
        <v>33</v>
      </c>
      <c r="B4" s="223"/>
      <c r="C4" s="231">
        <v>39197</v>
      </c>
      <c r="D4" s="225"/>
      <c r="E4" s="223"/>
      <c r="F4" s="223"/>
      <c r="G4" s="223"/>
      <c r="H4" s="223"/>
      <c r="I4" s="223"/>
      <c r="J4" s="229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</row>
    <row r="5" spans="1:31" ht="16.5" x14ac:dyDescent="0.3">
      <c r="A5" s="223" t="s">
        <v>34</v>
      </c>
      <c r="B5" s="223"/>
      <c r="C5" s="231" t="s">
        <v>129</v>
      </c>
      <c r="D5" s="225"/>
      <c r="E5" s="223"/>
      <c r="F5" s="223"/>
      <c r="G5" s="223"/>
      <c r="H5" s="223"/>
      <c r="I5" s="223"/>
      <c r="J5" s="229"/>
      <c r="K5" s="222"/>
      <c r="L5" s="222"/>
      <c r="M5" s="222"/>
      <c r="N5" s="222"/>
      <c r="O5" s="222"/>
      <c r="P5" s="222"/>
      <c r="Q5" s="222"/>
      <c r="R5" s="222"/>
      <c r="S5" s="222"/>
      <c r="T5" s="222"/>
      <c r="U5" s="222"/>
      <c r="V5" s="222"/>
      <c r="W5" s="222"/>
      <c r="X5" s="222"/>
      <c r="Y5" s="222"/>
      <c r="Z5" s="222"/>
      <c r="AA5" s="222"/>
      <c r="AB5" s="222"/>
      <c r="AC5" s="222"/>
      <c r="AD5" s="222"/>
      <c r="AE5" s="222"/>
    </row>
    <row r="6" spans="1:31" ht="28.9" customHeight="1" x14ac:dyDescent="0.25">
      <c r="A6" s="232" t="s">
        <v>35</v>
      </c>
      <c r="B6" s="232" t="s">
        <v>36</v>
      </c>
      <c r="C6" s="233" t="s">
        <v>37</v>
      </c>
      <c r="D6" s="233" t="s">
        <v>38</v>
      </c>
      <c r="E6" s="234" t="s">
        <v>39</v>
      </c>
      <c r="F6" s="233" t="s">
        <v>40</v>
      </c>
      <c r="G6" s="234" t="s">
        <v>41</v>
      </c>
      <c r="H6" s="233" t="s">
        <v>42</v>
      </c>
      <c r="I6" s="234" t="s">
        <v>43</v>
      </c>
      <c r="J6" s="319" t="s">
        <v>44</v>
      </c>
      <c r="K6" s="222"/>
      <c r="L6" s="222"/>
      <c r="M6" s="222"/>
      <c r="N6" s="222"/>
      <c r="O6" s="222"/>
      <c r="P6" s="222"/>
      <c r="Q6" s="222"/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</row>
    <row r="7" spans="1:31" ht="15" x14ac:dyDescent="0.25">
      <c r="A7" s="235" t="s">
        <v>45</v>
      </c>
      <c r="B7" s="235"/>
      <c r="C7" s="236" t="s">
        <v>36</v>
      </c>
      <c r="D7" s="236"/>
      <c r="E7" s="237"/>
      <c r="F7" s="236"/>
      <c r="G7" s="237"/>
      <c r="H7" s="236"/>
      <c r="I7" s="237" t="s">
        <v>46</v>
      </c>
      <c r="J7" s="319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  <c r="AD7" s="222"/>
      <c r="AE7" s="222"/>
    </row>
    <row r="8" spans="1:31" ht="16.5" x14ac:dyDescent="0.3">
      <c r="A8" s="276" t="s">
        <v>178</v>
      </c>
      <c r="B8" s="277"/>
      <c r="C8" s="278"/>
      <c r="D8" s="238"/>
      <c r="E8" s="239"/>
      <c r="F8" s="239"/>
      <c r="G8" s="239"/>
      <c r="H8" s="239"/>
      <c r="I8" s="239"/>
      <c r="J8" s="175">
        <f>32.64-29</f>
        <v>3.6400000000000006</v>
      </c>
      <c r="K8" s="222"/>
      <c r="L8" s="222"/>
      <c r="M8" s="222"/>
      <c r="N8" s="222"/>
      <c r="O8" s="222"/>
      <c r="P8" s="222"/>
      <c r="Q8" s="222"/>
      <c r="R8" s="222"/>
      <c r="S8" s="222"/>
      <c r="T8" s="222"/>
      <c r="U8" s="222"/>
      <c r="V8" s="222"/>
      <c r="W8" s="222"/>
      <c r="X8" s="222"/>
      <c r="Y8" s="222"/>
      <c r="Z8" s="222"/>
      <c r="AA8" s="222"/>
      <c r="AB8" s="222"/>
      <c r="AC8" s="222"/>
      <c r="AD8" s="222"/>
      <c r="AE8" s="222"/>
    </row>
    <row r="9" spans="1:31" ht="16.5" x14ac:dyDescent="0.3">
      <c r="A9" s="279"/>
      <c r="B9" s="289">
        <v>2015</v>
      </c>
      <c r="C9" s="279"/>
      <c r="D9" s="238"/>
      <c r="E9" s="239"/>
      <c r="F9" s="239"/>
      <c r="G9" s="239"/>
      <c r="H9" s="239"/>
      <c r="I9" s="239"/>
      <c r="J9" s="74"/>
      <c r="K9" s="222"/>
      <c r="L9" s="222"/>
      <c r="M9" s="222"/>
      <c r="N9" s="222"/>
      <c r="O9" s="222"/>
      <c r="P9" s="222"/>
      <c r="Q9" s="222"/>
      <c r="R9" s="222"/>
      <c r="S9" s="222"/>
      <c r="T9" s="222"/>
      <c r="U9" s="222"/>
      <c r="V9" s="222"/>
      <c r="W9" s="222"/>
      <c r="X9" s="222"/>
      <c r="Y9" s="222"/>
      <c r="Z9" s="222"/>
      <c r="AA9" s="222"/>
      <c r="AB9" s="222"/>
      <c r="AC9" s="222"/>
      <c r="AD9" s="222"/>
      <c r="AE9" s="222"/>
    </row>
    <row r="10" spans="1:31" ht="16.5" x14ac:dyDescent="0.3">
      <c r="A10" s="279"/>
      <c r="B10" s="242" t="s">
        <v>73</v>
      </c>
      <c r="C10" s="279">
        <f>31-23</f>
        <v>8</v>
      </c>
      <c r="D10" s="238"/>
      <c r="E10" s="239"/>
      <c r="F10" s="239"/>
      <c r="G10" s="239"/>
      <c r="H10" s="239"/>
      <c r="I10" s="238">
        <f t="shared" ref="I10:I18" si="0">C10-D10-E10-F10</f>
        <v>8</v>
      </c>
      <c r="J10" s="243">
        <f t="shared" ref="J10:J18" si="1">+I10*0.09</f>
        <v>0.72</v>
      </c>
      <c r="K10" s="222"/>
      <c r="L10" s="222"/>
      <c r="M10" s="222"/>
      <c r="N10" s="222"/>
      <c r="O10" s="222"/>
      <c r="P10" s="222"/>
      <c r="Q10" s="222"/>
      <c r="R10" s="222"/>
      <c r="S10" s="222"/>
      <c r="T10" s="222"/>
      <c r="U10" s="222"/>
      <c r="V10" s="222"/>
      <c r="W10" s="222"/>
      <c r="X10" s="222"/>
      <c r="Y10" s="222"/>
      <c r="Z10" s="222"/>
      <c r="AA10" s="222"/>
      <c r="AB10" s="222"/>
      <c r="AC10" s="222"/>
      <c r="AD10" s="222"/>
      <c r="AE10" s="222"/>
    </row>
    <row r="11" spans="1:31" ht="16.5" x14ac:dyDescent="0.3">
      <c r="A11" s="279"/>
      <c r="B11" s="242" t="s">
        <v>47</v>
      </c>
      <c r="C11" s="279">
        <v>30</v>
      </c>
      <c r="D11" s="238"/>
      <c r="E11" s="239"/>
      <c r="F11" s="239"/>
      <c r="G11" s="239"/>
      <c r="H11" s="239"/>
      <c r="I11" s="238">
        <f t="shared" si="0"/>
        <v>30</v>
      </c>
      <c r="J11" s="243">
        <f t="shared" si="1"/>
        <v>2.6999999999999997</v>
      </c>
      <c r="K11" s="222"/>
      <c r="L11" s="222"/>
      <c r="M11" s="222"/>
      <c r="N11" s="222"/>
      <c r="O11" s="222"/>
      <c r="P11" s="222"/>
      <c r="Q11" s="222"/>
      <c r="R11" s="222"/>
      <c r="S11" s="222"/>
      <c r="T11" s="222"/>
      <c r="U11" s="222"/>
      <c r="V11" s="222"/>
      <c r="W11" s="222"/>
      <c r="X11" s="222"/>
      <c r="Y11" s="222"/>
      <c r="Z11" s="222"/>
      <c r="AA11" s="222"/>
      <c r="AB11" s="222"/>
      <c r="AC11" s="222"/>
      <c r="AD11" s="222"/>
      <c r="AE11" s="222"/>
    </row>
    <row r="12" spans="1:31" ht="16.5" x14ac:dyDescent="0.3">
      <c r="A12" s="279"/>
      <c r="B12" s="242" t="s">
        <v>48</v>
      </c>
      <c r="C12" s="279">
        <v>31</v>
      </c>
      <c r="D12" s="238"/>
      <c r="E12" s="239"/>
      <c r="F12" s="239"/>
      <c r="G12" s="239"/>
      <c r="H12" s="239"/>
      <c r="I12" s="238">
        <f t="shared" si="0"/>
        <v>31</v>
      </c>
      <c r="J12" s="243">
        <f t="shared" si="1"/>
        <v>2.79</v>
      </c>
      <c r="K12" s="222"/>
      <c r="L12" s="222"/>
      <c r="M12" s="222"/>
      <c r="N12" s="222"/>
      <c r="O12" s="222"/>
      <c r="P12" s="222"/>
      <c r="Q12" s="222"/>
      <c r="R12" s="222"/>
      <c r="S12" s="222"/>
      <c r="T12" s="222"/>
      <c r="U12" s="222"/>
      <c r="V12" s="222"/>
      <c r="W12" s="222"/>
      <c r="X12" s="222"/>
      <c r="Y12" s="222"/>
      <c r="Z12" s="222"/>
      <c r="AA12" s="222"/>
      <c r="AB12" s="222"/>
      <c r="AC12" s="222"/>
      <c r="AD12" s="222"/>
      <c r="AE12" s="222"/>
    </row>
    <row r="13" spans="1:31" ht="16.5" x14ac:dyDescent="0.3">
      <c r="A13" s="279"/>
      <c r="B13" s="242" t="s">
        <v>49</v>
      </c>
      <c r="C13" s="279">
        <v>30</v>
      </c>
      <c r="D13" s="238"/>
      <c r="E13" s="239"/>
      <c r="F13" s="239"/>
      <c r="G13" s="239"/>
      <c r="H13" s="239"/>
      <c r="I13" s="238">
        <f t="shared" si="0"/>
        <v>30</v>
      </c>
      <c r="J13" s="243">
        <f t="shared" si="1"/>
        <v>2.6999999999999997</v>
      </c>
      <c r="K13" s="222"/>
      <c r="L13" s="222"/>
      <c r="M13" s="222"/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</row>
    <row r="14" spans="1:31" ht="16.5" x14ac:dyDescent="0.3">
      <c r="A14" s="279"/>
      <c r="B14" s="242" t="s">
        <v>50</v>
      </c>
      <c r="C14" s="279">
        <v>31</v>
      </c>
      <c r="D14" s="238"/>
      <c r="E14" s="239"/>
      <c r="F14" s="239"/>
      <c r="G14" s="239"/>
      <c r="H14" s="239"/>
      <c r="I14" s="238">
        <f t="shared" si="0"/>
        <v>31</v>
      </c>
      <c r="J14" s="243">
        <f t="shared" si="1"/>
        <v>2.79</v>
      </c>
      <c r="K14" s="222"/>
      <c r="L14" s="222"/>
      <c r="M14" s="222"/>
      <c r="N14" s="222"/>
      <c r="O14" s="222"/>
      <c r="P14" s="222"/>
      <c r="Q14" s="222"/>
      <c r="R14" s="222"/>
      <c r="S14" s="222"/>
      <c r="T14" s="222"/>
      <c r="U14" s="222"/>
      <c r="V14" s="222"/>
      <c r="W14" s="222"/>
      <c r="X14" s="222"/>
      <c r="Y14" s="222"/>
      <c r="Z14" s="222"/>
      <c r="AA14" s="222"/>
      <c r="AB14" s="222"/>
      <c r="AC14" s="222"/>
      <c r="AD14" s="222"/>
      <c r="AE14" s="222"/>
    </row>
    <row r="15" spans="1:31" ht="16.5" x14ac:dyDescent="0.3">
      <c r="A15" s="279"/>
      <c r="B15" s="110">
        <v>2016</v>
      </c>
      <c r="C15" s="279"/>
      <c r="D15" s="238"/>
      <c r="E15" s="239"/>
      <c r="F15" s="239"/>
      <c r="G15" s="239"/>
      <c r="H15" s="239"/>
      <c r="I15" s="238"/>
      <c r="J15" s="243"/>
      <c r="K15" s="222"/>
      <c r="L15" s="222"/>
      <c r="M15" s="222"/>
      <c r="N15" s="222"/>
      <c r="O15" s="222"/>
      <c r="P15" s="222"/>
      <c r="Q15" s="222"/>
      <c r="R15" s="222"/>
      <c r="S15" s="222"/>
      <c r="T15" s="222"/>
      <c r="U15" s="222"/>
      <c r="V15" s="222"/>
      <c r="W15" s="222"/>
      <c r="X15" s="222"/>
      <c r="Y15" s="222"/>
      <c r="Z15" s="222"/>
      <c r="AA15" s="222"/>
      <c r="AB15" s="222"/>
      <c r="AC15" s="222"/>
      <c r="AD15" s="222"/>
      <c r="AE15" s="222"/>
    </row>
    <row r="16" spans="1:31" ht="16.5" x14ac:dyDescent="0.3">
      <c r="A16" s="279"/>
      <c r="B16" s="242" t="s">
        <v>51</v>
      </c>
      <c r="C16" s="279">
        <v>31</v>
      </c>
      <c r="D16" s="238"/>
      <c r="E16" s="239">
        <v>1</v>
      </c>
      <c r="F16" s="239"/>
      <c r="G16" s="239"/>
      <c r="H16" s="239"/>
      <c r="I16" s="238">
        <f t="shared" si="0"/>
        <v>30</v>
      </c>
      <c r="J16" s="243">
        <f t="shared" si="1"/>
        <v>2.6999999999999997</v>
      </c>
      <c r="K16" s="222"/>
      <c r="L16" s="222"/>
      <c r="M16" s="222"/>
      <c r="N16" s="222"/>
      <c r="O16" s="222"/>
      <c r="P16" s="222"/>
      <c r="Q16" s="222"/>
      <c r="R16" s="222"/>
      <c r="S16" s="222"/>
      <c r="T16" s="222"/>
      <c r="U16" s="222"/>
      <c r="V16" s="222"/>
      <c r="W16" s="222"/>
      <c r="X16" s="222"/>
      <c r="Y16" s="222"/>
      <c r="Z16" s="222"/>
      <c r="AA16" s="222"/>
      <c r="AB16" s="222"/>
      <c r="AC16" s="222"/>
      <c r="AD16" s="222"/>
      <c r="AE16" s="222"/>
    </row>
    <row r="17" spans="1:31" ht="16.5" x14ac:dyDescent="0.3">
      <c r="A17" s="279"/>
      <c r="B17" s="242" t="s">
        <v>52</v>
      </c>
      <c r="C17" s="279">
        <v>28</v>
      </c>
      <c r="D17" s="238"/>
      <c r="E17" s="239"/>
      <c r="F17" s="239"/>
      <c r="G17" s="239"/>
      <c r="H17" s="239"/>
      <c r="I17" s="238">
        <f t="shared" si="0"/>
        <v>28</v>
      </c>
      <c r="J17" s="243">
        <f t="shared" si="1"/>
        <v>2.52</v>
      </c>
      <c r="K17" s="222"/>
      <c r="L17" s="222"/>
      <c r="M17" s="222"/>
      <c r="N17" s="222"/>
      <c r="O17" s="222"/>
      <c r="P17" s="222"/>
      <c r="Q17" s="222"/>
      <c r="R17" s="222"/>
      <c r="S17" s="222"/>
      <c r="T17" s="222"/>
      <c r="U17" s="222"/>
      <c r="V17" s="222"/>
      <c r="W17" s="222"/>
      <c r="X17" s="222"/>
      <c r="Y17" s="222"/>
      <c r="Z17" s="222"/>
      <c r="AA17" s="222"/>
      <c r="AB17" s="222"/>
      <c r="AC17" s="222"/>
      <c r="AD17" s="222"/>
      <c r="AE17" s="222"/>
    </row>
    <row r="18" spans="1:31" ht="16.5" x14ac:dyDescent="0.3">
      <c r="A18" s="279"/>
      <c r="B18" s="242" t="s">
        <v>53</v>
      </c>
      <c r="C18" s="279">
        <v>31</v>
      </c>
      <c r="D18" s="238"/>
      <c r="E18" s="239"/>
      <c r="F18" s="239"/>
      <c r="G18" s="239"/>
      <c r="H18" s="239"/>
      <c r="I18" s="238">
        <f t="shared" si="0"/>
        <v>31</v>
      </c>
      <c r="J18" s="243">
        <f t="shared" si="1"/>
        <v>2.79</v>
      </c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22"/>
      <c r="V18" s="222"/>
      <c r="W18" s="222"/>
      <c r="X18" s="222"/>
      <c r="Y18" s="222"/>
      <c r="Z18" s="222"/>
      <c r="AA18" s="222"/>
      <c r="AB18" s="222"/>
      <c r="AC18" s="222"/>
      <c r="AD18" s="222"/>
      <c r="AE18" s="222"/>
    </row>
    <row r="19" spans="1:31" ht="17.25" customHeight="1" x14ac:dyDescent="0.3">
      <c r="A19" s="238"/>
      <c r="B19" s="242" t="s">
        <v>54</v>
      </c>
      <c r="C19" s="238">
        <v>30</v>
      </c>
      <c r="D19" s="238"/>
      <c r="E19" s="238"/>
      <c r="F19" s="238"/>
      <c r="G19" s="238"/>
      <c r="H19" s="238"/>
      <c r="I19" s="238">
        <f t="shared" ref="I19:I37" si="2">C19-D19-E19-F19</f>
        <v>30</v>
      </c>
      <c r="J19" s="243">
        <f t="shared" ref="J19:J26" si="3">+I19*0.09</f>
        <v>2.6999999999999997</v>
      </c>
      <c r="K19" s="249"/>
      <c r="L19" s="222"/>
      <c r="M19" s="222"/>
      <c r="N19" s="222"/>
      <c r="O19" s="222"/>
      <c r="P19" s="222"/>
      <c r="Q19" s="222"/>
      <c r="R19" s="222"/>
      <c r="S19" s="222"/>
      <c r="T19" s="222"/>
      <c r="U19" s="222"/>
      <c r="V19" s="222"/>
      <c r="W19" s="222"/>
      <c r="X19" s="222"/>
      <c r="Y19" s="222"/>
      <c r="Z19" s="222"/>
      <c r="AA19" s="222"/>
      <c r="AB19" s="222"/>
      <c r="AC19" s="222"/>
      <c r="AD19" s="222"/>
      <c r="AE19" s="222"/>
    </row>
    <row r="20" spans="1:31" ht="17.25" customHeight="1" x14ac:dyDescent="0.3">
      <c r="A20" s="238"/>
      <c r="B20" s="242" t="s">
        <v>55</v>
      </c>
      <c r="C20" s="238">
        <v>31</v>
      </c>
      <c r="D20" s="238"/>
      <c r="E20" s="238"/>
      <c r="F20" s="238"/>
      <c r="G20" s="238"/>
      <c r="H20" s="238"/>
      <c r="I20" s="238">
        <f t="shared" si="2"/>
        <v>31</v>
      </c>
      <c r="J20" s="243">
        <f t="shared" si="3"/>
        <v>2.79</v>
      </c>
      <c r="K20" s="249"/>
      <c r="L20" s="222"/>
      <c r="M20" s="222"/>
      <c r="N20" s="222"/>
      <c r="O20" s="222"/>
      <c r="P20" s="222"/>
      <c r="Q20" s="222"/>
      <c r="R20" s="222"/>
      <c r="S20" s="222"/>
      <c r="T20" s="222"/>
      <c r="U20" s="222"/>
      <c r="V20" s="222"/>
      <c r="W20" s="222"/>
      <c r="X20" s="222"/>
      <c r="Y20" s="222"/>
      <c r="Z20" s="222"/>
      <c r="AA20" s="222"/>
      <c r="AB20" s="222"/>
      <c r="AC20" s="222"/>
      <c r="AD20" s="222"/>
      <c r="AE20" s="222"/>
    </row>
    <row r="21" spans="1:31" ht="17.25" customHeight="1" x14ac:dyDescent="0.3">
      <c r="A21" s="238"/>
      <c r="B21" s="242" t="s">
        <v>56</v>
      </c>
      <c r="C21" s="238">
        <v>30</v>
      </c>
      <c r="D21" s="238"/>
      <c r="E21" s="238">
        <v>3</v>
      </c>
      <c r="F21" s="238"/>
      <c r="G21" s="238"/>
      <c r="H21" s="238"/>
      <c r="I21" s="238">
        <f t="shared" si="2"/>
        <v>27</v>
      </c>
      <c r="J21" s="243">
        <f t="shared" si="3"/>
        <v>2.4299999999999997</v>
      </c>
      <c r="K21" s="222"/>
      <c r="L21" s="222"/>
      <c r="M21" s="222"/>
      <c r="N21" s="222"/>
      <c r="O21" s="222"/>
      <c r="P21" s="222"/>
      <c r="Q21" s="222"/>
      <c r="R21" s="222"/>
      <c r="S21" s="222"/>
      <c r="T21" s="222"/>
      <c r="U21" s="222"/>
      <c r="V21" s="222"/>
      <c r="W21" s="222"/>
      <c r="X21" s="222"/>
      <c r="Y21" s="222"/>
      <c r="Z21" s="222"/>
      <c r="AA21" s="222"/>
      <c r="AB21" s="222"/>
      <c r="AC21" s="222"/>
      <c r="AD21" s="222"/>
      <c r="AE21" s="222"/>
    </row>
    <row r="22" spans="1:31" ht="17.25" customHeight="1" x14ac:dyDescent="0.3">
      <c r="A22" s="238"/>
      <c r="B22" s="242" t="s">
        <v>57</v>
      </c>
      <c r="C22" s="238">
        <v>31</v>
      </c>
      <c r="D22" s="238">
        <v>17</v>
      </c>
      <c r="E22" s="238"/>
      <c r="F22" s="238"/>
      <c r="G22" s="238"/>
      <c r="H22" s="238"/>
      <c r="I22" s="238">
        <f t="shared" si="2"/>
        <v>14</v>
      </c>
      <c r="J22" s="243">
        <f t="shared" si="3"/>
        <v>1.26</v>
      </c>
      <c r="K22" s="249"/>
      <c r="L22" s="222"/>
      <c r="M22" s="222"/>
      <c r="N22" s="222"/>
      <c r="O22" s="222"/>
      <c r="P22" s="222"/>
      <c r="Q22" s="222"/>
      <c r="R22" s="222"/>
      <c r="S22" s="222"/>
      <c r="T22" s="222"/>
      <c r="U22" s="222"/>
      <c r="V22" s="222"/>
      <c r="W22" s="222"/>
      <c r="X22" s="222"/>
      <c r="Y22" s="222"/>
      <c r="Z22" s="222"/>
      <c r="AA22" s="222"/>
      <c r="AB22" s="222"/>
      <c r="AC22" s="222"/>
      <c r="AD22" s="222"/>
      <c r="AE22" s="222"/>
    </row>
    <row r="23" spans="1:31" ht="17.25" customHeight="1" x14ac:dyDescent="0.3">
      <c r="A23" s="238"/>
      <c r="B23" s="242" t="s">
        <v>73</v>
      </c>
      <c r="C23" s="238">
        <v>31</v>
      </c>
      <c r="D23" s="238"/>
      <c r="E23" s="238"/>
      <c r="F23" s="238"/>
      <c r="G23" s="238"/>
      <c r="H23" s="238"/>
      <c r="I23" s="238">
        <f t="shared" si="2"/>
        <v>31</v>
      </c>
      <c r="J23" s="243">
        <f t="shared" si="3"/>
        <v>2.79</v>
      </c>
      <c r="K23" s="249"/>
      <c r="L23" s="222"/>
      <c r="M23" s="222"/>
      <c r="N23" s="222"/>
      <c r="O23" s="222"/>
      <c r="P23" s="222"/>
      <c r="Q23" s="222"/>
      <c r="R23" s="222"/>
      <c r="S23" s="222"/>
      <c r="T23" s="222"/>
      <c r="U23" s="222"/>
      <c r="V23" s="222"/>
      <c r="W23" s="222"/>
      <c r="X23" s="222"/>
      <c r="Y23" s="222"/>
      <c r="Z23" s="222"/>
      <c r="AA23" s="222"/>
      <c r="AB23" s="222"/>
      <c r="AC23" s="222"/>
      <c r="AD23" s="222"/>
      <c r="AE23" s="222"/>
    </row>
    <row r="24" spans="1:31" ht="17.25" customHeight="1" x14ac:dyDescent="0.3">
      <c r="A24" s="238"/>
      <c r="B24" s="242" t="s">
        <v>47</v>
      </c>
      <c r="C24" s="238">
        <v>30</v>
      </c>
      <c r="D24" s="238"/>
      <c r="E24" s="238"/>
      <c r="F24" s="238"/>
      <c r="G24" s="238"/>
      <c r="H24" s="238"/>
      <c r="I24" s="238">
        <f t="shared" si="2"/>
        <v>30</v>
      </c>
      <c r="J24" s="243">
        <f t="shared" si="3"/>
        <v>2.6999999999999997</v>
      </c>
      <c r="K24" s="249"/>
      <c r="L24" s="222"/>
      <c r="M24" s="222"/>
      <c r="N24" s="222"/>
      <c r="O24" s="222"/>
      <c r="P24" s="222"/>
      <c r="Q24" s="222"/>
      <c r="R24" s="222"/>
      <c r="S24" s="222"/>
      <c r="T24" s="222"/>
      <c r="U24" s="222"/>
      <c r="V24" s="222"/>
      <c r="W24" s="222"/>
      <c r="X24" s="222"/>
      <c r="Y24" s="222"/>
      <c r="Z24" s="222"/>
      <c r="AA24" s="222"/>
      <c r="AB24" s="222"/>
      <c r="AC24" s="222"/>
      <c r="AD24" s="222"/>
      <c r="AE24" s="222"/>
    </row>
    <row r="25" spans="1:31" ht="17.25" customHeight="1" x14ac:dyDescent="0.3">
      <c r="A25" s="238"/>
      <c r="B25" s="242" t="s">
        <v>48</v>
      </c>
      <c r="C25" s="238">
        <v>31</v>
      </c>
      <c r="D25" s="238"/>
      <c r="E25" s="238"/>
      <c r="F25" s="238"/>
      <c r="G25" s="238"/>
      <c r="H25" s="238"/>
      <c r="I25" s="238">
        <f t="shared" si="2"/>
        <v>31</v>
      </c>
      <c r="J25" s="243">
        <f t="shared" si="3"/>
        <v>2.79</v>
      </c>
      <c r="K25" s="249"/>
      <c r="L25" s="222"/>
      <c r="M25" s="222"/>
      <c r="N25" s="222"/>
      <c r="O25" s="222"/>
      <c r="P25" s="222"/>
      <c r="Q25" s="222"/>
      <c r="R25" s="222"/>
      <c r="S25" s="222"/>
      <c r="T25" s="222"/>
      <c r="U25" s="222"/>
      <c r="V25" s="222"/>
      <c r="W25" s="222"/>
      <c r="X25" s="222"/>
      <c r="Y25" s="222"/>
      <c r="Z25" s="222"/>
      <c r="AA25" s="222"/>
      <c r="AB25" s="222"/>
      <c r="AC25" s="222"/>
      <c r="AD25" s="222"/>
      <c r="AE25" s="222"/>
    </row>
    <row r="26" spans="1:31" ht="17.25" customHeight="1" x14ac:dyDescent="0.3">
      <c r="A26" s="238"/>
      <c r="B26" s="242" t="s">
        <v>49</v>
      </c>
      <c r="C26" s="238">
        <v>30</v>
      </c>
      <c r="D26" s="238"/>
      <c r="E26" s="238"/>
      <c r="F26" s="238"/>
      <c r="G26" s="238"/>
      <c r="H26" s="238"/>
      <c r="I26" s="238">
        <f t="shared" si="2"/>
        <v>30</v>
      </c>
      <c r="J26" s="243">
        <f t="shared" si="3"/>
        <v>2.6999999999999997</v>
      </c>
      <c r="K26" s="249"/>
      <c r="L26" s="222"/>
      <c r="M26" s="222"/>
      <c r="N26" s="222"/>
      <c r="O26" s="222"/>
      <c r="P26" s="222"/>
      <c r="Q26" s="222"/>
      <c r="R26" s="222"/>
      <c r="S26" s="222"/>
      <c r="T26" s="222"/>
      <c r="U26" s="222"/>
      <c r="V26" s="222"/>
      <c r="W26" s="222"/>
      <c r="X26" s="222"/>
      <c r="Y26" s="222"/>
      <c r="Z26" s="222"/>
      <c r="AA26" s="222"/>
      <c r="AB26" s="222"/>
      <c r="AC26" s="222"/>
      <c r="AD26" s="222"/>
      <c r="AE26" s="222"/>
    </row>
    <row r="27" spans="1:31" ht="17.25" customHeight="1" x14ac:dyDescent="0.3">
      <c r="A27" s="238"/>
      <c r="B27" s="242" t="s">
        <v>50</v>
      </c>
      <c r="C27" s="238">
        <v>31</v>
      </c>
      <c r="D27" s="238"/>
      <c r="E27" s="238"/>
      <c r="F27" s="238"/>
      <c r="G27" s="238"/>
      <c r="H27" s="238"/>
      <c r="I27" s="238">
        <f t="shared" si="2"/>
        <v>31</v>
      </c>
      <c r="J27" s="243">
        <f>+I27*0.083</f>
        <v>2.573</v>
      </c>
      <c r="K27" s="249"/>
      <c r="L27" s="222"/>
      <c r="M27" s="222"/>
      <c r="N27" s="222"/>
      <c r="O27" s="222"/>
      <c r="P27" s="222"/>
      <c r="Q27" s="222"/>
      <c r="R27" s="222"/>
      <c r="S27" s="222"/>
      <c r="T27" s="222"/>
      <c r="U27" s="222"/>
      <c r="V27" s="222"/>
      <c r="W27" s="222"/>
      <c r="X27" s="222"/>
      <c r="Y27" s="222"/>
      <c r="Z27" s="222"/>
      <c r="AA27" s="222"/>
      <c r="AB27" s="222"/>
      <c r="AC27" s="222"/>
      <c r="AD27" s="222"/>
      <c r="AE27" s="222"/>
    </row>
    <row r="28" spans="1:31" ht="17.25" customHeight="1" x14ac:dyDescent="0.3">
      <c r="A28" s="238"/>
      <c r="B28" s="110">
        <v>2017</v>
      </c>
      <c r="C28" s="238"/>
      <c r="D28" s="238"/>
      <c r="E28" s="238"/>
      <c r="F28" s="238"/>
      <c r="G28" s="238"/>
      <c r="H28" s="238"/>
      <c r="I28" s="238"/>
      <c r="J28" s="243">
        <f t="shared" ref="J28" si="4">+I28*0.083</f>
        <v>0</v>
      </c>
      <c r="K28" s="249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  <c r="AD28" s="222"/>
      <c r="AE28" s="222"/>
    </row>
    <row r="29" spans="1:31" ht="17.25" customHeight="1" x14ac:dyDescent="0.3">
      <c r="A29" s="238"/>
      <c r="B29" s="242" t="s">
        <v>51</v>
      </c>
      <c r="C29" s="238">
        <v>31</v>
      </c>
      <c r="D29" s="238"/>
      <c r="E29" s="238"/>
      <c r="F29" s="238"/>
      <c r="G29" s="238"/>
      <c r="H29" s="238"/>
      <c r="I29" s="238">
        <f t="shared" si="2"/>
        <v>31</v>
      </c>
      <c r="J29" s="243">
        <f>+I29*30/365</f>
        <v>2.547945205479452</v>
      </c>
      <c r="K29" s="249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AD29" s="222"/>
      <c r="AE29" s="222"/>
    </row>
    <row r="30" spans="1:31" ht="17.25" customHeight="1" x14ac:dyDescent="0.3">
      <c r="A30" s="238"/>
      <c r="B30" s="242" t="s">
        <v>52</v>
      </c>
      <c r="C30" s="238">
        <v>28</v>
      </c>
      <c r="D30" s="238"/>
      <c r="E30" s="238"/>
      <c r="F30" s="238"/>
      <c r="G30" s="238"/>
      <c r="H30" s="238"/>
      <c r="I30" s="238">
        <f t="shared" si="2"/>
        <v>28</v>
      </c>
      <c r="J30" s="243">
        <f t="shared" ref="J30:J40" si="5">+I30*30/365</f>
        <v>2.3013698630136985</v>
      </c>
      <c r="K30" s="249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2"/>
      <c r="AB30" s="222"/>
      <c r="AC30" s="222"/>
      <c r="AD30" s="222"/>
      <c r="AE30" s="222"/>
    </row>
    <row r="31" spans="1:31" ht="17.25" customHeight="1" x14ac:dyDescent="0.3">
      <c r="A31" s="238"/>
      <c r="B31" s="242" t="s">
        <v>53</v>
      </c>
      <c r="C31" s="238">
        <v>31</v>
      </c>
      <c r="D31" s="238"/>
      <c r="E31" s="238"/>
      <c r="F31" s="238"/>
      <c r="G31" s="238"/>
      <c r="H31" s="238"/>
      <c r="I31" s="238">
        <f t="shared" si="2"/>
        <v>31</v>
      </c>
      <c r="J31" s="243">
        <f t="shared" si="5"/>
        <v>2.547945205479452</v>
      </c>
      <c r="K31" s="249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</row>
    <row r="32" spans="1:31" ht="17.25" customHeight="1" x14ac:dyDescent="0.3">
      <c r="A32" s="238"/>
      <c r="B32" s="242" t="s">
        <v>54</v>
      </c>
      <c r="C32" s="238">
        <v>30</v>
      </c>
      <c r="D32" s="238"/>
      <c r="E32" s="238"/>
      <c r="F32" s="238"/>
      <c r="G32" s="238"/>
      <c r="H32" s="238"/>
      <c r="I32" s="238">
        <f t="shared" si="2"/>
        <v>30</v>
      </c>
      <c r="J32" s="243">
        <f t="shared" si="5"/>
        <v>2.4657534246575343</v>
      </c>
      <c r="K32" s="249"/>
      <c r="L32" s="222"/>
      <c r="M32" s="222"/>
      <c r="N32" s="222"/>
      <c r="O32" s="222"/>
      <c r="P32" s="222"/>
      <c r="Q32" s="222"/>
      <c r="R32" s="222"/>
      <c r="S32" s="222"/>
      <c r="T32" s="222"/>
      <c r="U32" s="222"/>
      <c r="V32" s="222"/>
      <c r="W32" s="222"/>
      <c r="X32" s="222"/>
      <c r="Y32" s="222"/>
      <c r="Z32" s="222"/>
      <c r="AA32" s="222"/>
      <c r="AB32" s="222"/>
      <c r="AC32" s="222"/>
      <c r="AD32" s="222"/>
      <c r="AE32" s="222"/>
    </row>
    <row r="33" spans="1:31" ht="17.25" customHeight="1" x14ac:dyDescent="0.3">
      <c r="A33" s="238"/>
      <c r="B33" s="242" t="s">
        <v>55</v>
      </c>
      <c r="C33" s="238">
        <v>31</v>
      </c>
      <c r="D33" s="238"/>
      <c r="E33" s="238"/>
      <c r="F33" s="238"/>
      <c r="G33" s="238"/>
      <c r="H33" s="238"/>
      <c r="I33" s="238">
        <f t="shared" si="2"/>
        <v>31</v>
      </c>
      <c r="J33" s="243">
        <f t="shared" si="5"/>
        <v>2.547945205479452</v>
      </c>
      <c r="K33" s="249"/>
      <c r="L33" s="222"/>
      <c r="M33" s="222"/>
      <c r="N33" s="222"/>
      <c r="O33" s="222"/>
      <c r="P33" s="222"/>
      <c r="Q33" s="222"/>
      <c r="R33" s="222"/>
      <c r="S33" s="222"/>
      <c r="T33" s="222"/>
      <c r="U33" s="222"/>
      <c r="V33" s="222"/>
      <c r="W33" s="222"/>
      <c r="X33" s="222"/>
      <c r="Y33" s="222"/>
      <c r="Z33" s="222"/>
      <c r="AA33" s="222"/>
      <c r="AB33" s="222"/>
      <c r="AC33" s="222"/>
      <c r="AD33" s="222"/>
      <c r="AE33" s="222"/>
    </row>
    <row r="34" spans="1:31" ht="17.25" customHeight="1" x14ac:dyDescent="0.3">
      <c r="A34" s="238"/>
      <c r="B34" s="242" t="s">
        <v>56</v>
      </c>
      <c r="C34" s="238">
        <v>30</v>
      </c>
      <c r="D34" s="238"/>
      <c r="E34" s="238"/>
      <c r="F34" s="238"/>
      <c r="G34" s="238"/>
      <c r="H34" s="238"/>
      <c r="I34" s="238">
        <f t="shared" si="2"/>
        <v>30</v>
      </c>
      <c r="J34" s="243">
        <f t="shared" si="5"/>
        <v>2.4657534246575343</v>
      </c>
      <c r="K34" s="249"/>
      <c r="L34" s="222"/>
      <c r="M34" s="222"/>
      <c r="N34" s="222"/>
      <c r="O34" s="222"/>
      <c r="P34" s="222"/>
      <c r="Q34" s="222"/>
      <c r="R34" s="222"/>
      <c r="S34" s="222"/>
      <c r="T34" s="222"/>
      <c r="U34" s="222"/>
      <c r="V34" s="222"/>
      <c r="W34" s="222"/>
      <c r="X34" s="222"/>
      <c r="Y34" s="222"/>
      <c r="Z34" s="222"/>
      <c r="AA34" s="222"/>
      <c r="AB34" s="222"/>
      <c r="AC34" s="222"/>
      <c r="AD34" s="222"/>
      <c r="AE34" s="222"/>
    </row>
    <row r="35" spans="1:31" ht="17.25" customHeight="1" x14ac:dyDescent="0.3">
      <c r="A35" s="238"/>
      <c r="B35" s="242" t="s">
        <v>57</v>
      </c>
      <c r="C35" s="238">
        <v>31</v>
      </c>
      <c r="D35" s="238">
        <v>19</v>
      </c>
      <c r="E35" s="238"/>
      <c r="F35" s="238"/>
      <c r="G35" s="238"/>
      <c r="H35" s="238"/>
      <c r="I35" s="238">
        <f t="shared" si="2"/>
        <v>12</v>
      </c>
      <c r="J35" s="243">
        <f t="shared" si="5"/>
        <v>0.98630136986301364</v>
      </c>
      <c r="K35" s="249"/>
      <c r="L35" s="222"/>
      <c r="M35" s="222"/>
      <c r="N35" s="222"/>
      <c r="O35" s="222"/>
      <c r="P35" s="222"/>
      <c r="Q35" s="222"/>
      <c r="R35" s="222"/>
      <c r="S35" s="222"/>
      <c r="T35" s="222"/>
      <c r="U35" s="222"/>
      <c r="V35" s="222"/>
      <c r="W35" s="222"/>
      <c r="X35" s="222"/>
      <c r="Y35" s="222"/>
      <c r="Z35" s="222"/>
      <c r="AA35" s="222"/>
      <c r="AB35" s="222"/>
      <c r="AC35" s="222"/>
      <c r="AD35" s="222"/>
      <c r="AE35" s="222"/>
    </row>
    <row r="36" spans="1:31" ht="17.25" customHeight="1" x14ac:dyDescent="0.3">
      <c r="A36" s="238"/>
      <c r="B36" s="242" t="s">
        <v>73</v>
      </c>
      <c r="C36" s="238">
        <v>31</v>
      </c>
      <c r="D36" s="238"/>
      <c r="E36" s="238"/>
      <c r="F36" s="238"/>
      <c r="G36" s="238"/>
      <c r="H36" s="238"/>
      <c r="I36" s="238">
        <f t="shared" si="2"/>
        <v>31</v>
      </c>
      <c r="J36" s="243">
        <f t="shared" si="5"/>
        <v>2.547945205479452</v>
      </c>
      <c r="K36" s="249"/>
      <c r="L36" s="222"/>
      <c r="M36" s="222"/>
      <c r="N36" s="222"/>
      <c r="O36" s="222"/>
      <c r="P36" s="222"/>
      <c r="Q36" s="222"/>
      <c r="R36" s="222"/>
      <c r="S36" s="222"/>
      <c r="T36" s="222"/>
      <c r="U36" s="222"/>
      <c r="V36" s="222"/>
      <c r="W36" s="222"/>
      <c r="X36" s="222"/>
      <c r="Y36" s="222"/>
      <c r="Z36" s="222"/>
      <c r="AA36" s="222"/>
      <c r="AB36" s="222"/>
      <c r="AC36" s="222"/>
      <c r="AD36" s="222"/>
      <c r="AE36" s="222"/>
    </row>
    <row r="37" spans="1:31" ht="17.25" customHeight="1" x14ac:dyDescent="0.3">
      <c r="A37" s="238"/>
      <c r="B37" s="242" t="s">
        <v>47</v>
      </c>
      <c r="C37" s="238">
        <v>30</v>
      </c>
      <c r="D37" s="238">
        <v>6</v>
      </c>
      <c r="E37" s="238"/>
      <c r="F37" s="238"/>
      <c r="G37" s="238"/>
      <c r="H37" s="238"/>
      <c r="I37" s="238">
        <f t="shared" si="2"/>
        <v>24</v>
      </c>
      <c r="J37" s="243">
        <f t="shared" si="5"/>
        <v>1.9726027397260273</v>
      </c>
      <c r="K37" s="249"/>
      <c r="L37" s="222"/>
      <c r="M37" s="222"/>
      <c r="N37" s="222"/>
      <c r="O37" s="222"/>
      <c r="P37" s="222"/>
      <c r="Q37" s="222"/>
      <c r="R37" s="222"/>
      <c r="S37" s="222"/>
      <c r="T37" s="222"/>
      <c r="U37" s="222"/>
      <c r="V37" s="222"/>
      <c r="W37" s="222"/>
      <c r="X37" s="222"/>
      <c r="Y37" s="222"/>
      <c r="Z37" s="222"/>
      <c r="AA37" s="222"/>
      <c r="AB37" s="222"/>
      <c r="AC37" s="222"/>
      <c r="AD37" s="222"/>
      <c r="AE37" s="222"/>
    </row>
    <row r="38" spans="1:31" ht="17.25" customHeight="1" x14ac:dyDescent="0.3">
      <c r="A38" s="238"/>
      <c r="B38" s="242" t="s">
        <v>192</v>
      </c>
      <c r="C38" s="238">
        <v>31</v>
      </c>
      <c r="D38" s="238">
        <v>25</v>
      </c>
      <c r="E38" s="238">
        <v>6</v>
      </c>
      <c r="F38" s="238"/>
      <c r="G38" s="238"/>
      <c r="H38" s="238"/>
      <c r="I38" s="238">
        <f t="shared" ref="I38:I40" si="6">C38-D38-E38-F38</f>
        <v>0</v>
      </c>
      <c r="J38" s="243">
        <f t="shared" si="5"/>
        <v>0</v>
      </c>
      <c r="K38" s="249"/>
      <c r="L38" s="222"/>
      <c r="M38" s="222"/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222"/>
      <c r="AA38" s="222"/>
      <c r="AB38" s="222"/>
      <c r="AC38" s="222"/>
      <c r="AD38" s="222"/>
      <c r="AE38" s="222"/>
    </row>
    <row r="39" spans="1:31" ht="17.25" customHeight="1" x14ac:dyDescent="0.3">
      <c r="A39" s="238"/>
      <c r="B39" s="242" t="s">
        <v>49</v>
      </c>
      <c r="C39" s="238">
        <v>30</v>
      </c>
      <c r="D39" s="238"/>
      <c r="E39" s="238">
        <v>11</v>
      </c>
      <c r="F39" s="238"/>
      <c r="G39" s="238"/>
      <c r="H39" s="238"/>
      <c r="I39" s="238">
        <f>C39-D39-E39-F39</f>
        <v>19</v>
      </c>
      <c r="J39" s="243">
        <f t="shared" si="5"/>
        <v>1.5616438356164384</v>
      </c>
      <c r="K39" s="249"/>
      <c r="L39" s="222"/>
      <c r="M39" s="222"/>
      <c r="N39" s="222"/>
      <c r="O39" s="222"/>
      <c r="P39" s="222"/>
      <c r="Q39" s="222"/>
      <c r="R39" s="222"/>
      <c r="S39" s="222"/>
      <c r="T39" s="222"/>
      <c r="U39" s="222"/>
      <c r="V39" s="222"/>
      <c r="W39" s="222"/>
      <c r="X39" s="222"/>
      <c r="Y39" s="222"/>
      <c r="Z39" s="222"/>
      <c r="AA39" s="222"/>
      <c r="AB39" s="222"/>
      <c r="AC39" s="222"/>
      <c r="AD39" s="222"/>
      <c r="AE39" s="222"/>
    </row>
    <row r="40" spans="1:31" ht="17.25" customHeight="1" x14ac:dyDescent="0.3">
      <c r="A40" s="238"/>
      <c r="B40" s="242" t="s">
        <v>50</v>
      </c>
      <c r="C40" s="238">
        <v>31</v>
      </c>
      <c r="D40" s="238"/>
      <c r="E40" s="238"/>
      <c r="F40" s="238"/>
      <c r="G40" s="238"/>
      <c r="H40" s="238"/>
      <c r="I40" s="238">
        <f t="shared" si="6"/>
        <v>31</v>
      </c>
      <c r="J40" s="243">
        <f t="shared" si="5"/>
        <v>2.547945205479452</v>
      </c>
      <c r="K40" s="249"/>
      <c r="L40" s="222"/>
      <c r="M40" s="222"/>
      <c r="N40" s="222"/>
      <c r="O40" s="222"/>
      <c r="P40" s="222"/>
      <c r="Q40" s="222"/>
      <c r="R40" s="222"/>
      <c r="S40" s="222"/>
      <c r="T40" s="222"/>
      <c r="U40" s="222"/>
      <c r="V40" s="222"/>
      <c r="W40" s="222"/>
      <c r="X40" s="222"/>
      <c r="Y40" s="222"/>
      <c r="Z40" s="222"/>
      <c r="AA40" s="222"/>
      <c r="AB40" s="222"/>
      <c r="AC40" s="222"/>
      <c r="AD40" s="222"/>
      <c r="AE40" s="222"/>
    </row>
    <row r="41" spans="1:31" ht="16.5" x14ac:dyDescent="0.3">
      <c r="A41" s="253" t="s">
        <v>58</v>
      </c>
      <c r="B41" s="254"/>
      <c r="C41" s="255">
        <f t="shared" ref="C41:I41" si="7">SUM(C8:C40)</f>
        <v>860</v>
      </c>
      <c r="D41" s="255">
        <f t="shared" si="7"/>
        <v>67</v>
      </c>
      <c r="E41" s="255">
        <f t="shared" si="7"/>
        <v>21</v>
      </c>
      <c r="F41" s="255">
        <f t="shared" si="7"/>
        <v>0</v>
      </c>
      <c r="G41" s="255">
        <f t="shared" si="7"/>
        <v>0</v>
      </c>
      <c r="H41" s="255">
        <f t="shared" si="7"/>
        <v>0</v>
      </c>
      <c r="I41" s="255">
        <f t="shared" si="7"/>
        <v>772</v>
      </c>
      <c r="J41" s="255">
        <f>SUM(J8:J40)</f>
        <v>70.576150684931505</v>
      </c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222"/>
      <c r="AA41" s="222"/>
      <c r="AB41" s="222"/>
      <c r="AC41" s="222"/>
      <c r="AD41" s="222"/>
      <c r="AE41" s="222"/>
    </row>
    <row r="42" spans="1:31" ht="17.25" thickBot="1" x14ac:dyDescent="0.35">
      <c r="A42" s="256"/>
      <c r="B42" s="257"/>
      <c r="C42" s="257"/>
      <c r="D42" s="258"/>
      <c r="E42" s="257"/>
      <c r="F42" s="257"/>
      <c r="G42" s="257"/>
      <c r="H42" s="257"/>
      <c r="I42" s="257"/>
      <c r="J42" s="259"/>
      <c r="K42" s="222"/>
      <c r="L42" s="222"/>
      <c r="M42" s="222"/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  <c r="Z42" s="222"/>
      <c r="AA42" s="222"/>
      <c r="AB42" s="222"/>
      <c r="AC42" s="222"/>
      <c r="AD42" s="222"/>
      <c r="AE42" s="222"/>
    </row>
    <row r="43" spans="1:31" ht="15" thickBot="1" x14ac:dyDescent="0.25">
      <c r="A43" s="320" t="s">
        <v>59</v>
      </c>
      <c r="B43" s="321"/>
      <c r="C43" s="321"/>
      <c r="D43" s="321"/>
      <c r="E43" s="321"/>
      <c r="F43" s="321"/>
      <c r="G43" s="321"/>
      <c r="H43" s="321"/>
      <c r="I43" s="321"/>
      <c r="J43" s="322"/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  <c r="Z43" s="222"/>
      <c r="AA43" s="222"/>
      <c r="AB43" s="222"/>
      <c r="AC43" s="222"/>
      <c r="AD43" s="222"/>
      <c r="AE43" s="222"/>
    </row>
    <row r="44" spans="1:31" ht="16.5" x14ac:dyDescent="0.3">
      <c r="A44" s="260">
        <v>1</v>
      </c>
      <c r="B44" s="261" t="s">
        <v>60</v>
      </c>
      <c r="C44" s="261"/>
      <c r="D44" s="262"/>
      <c r="E44" s="261"/>
      <c r="F44" s="261"/>
      <c r="G44" s="261"/>
      <c r="H44" s="263"/>
      <c r="I44" s="264"/>
      <c r="J44" s="265">
        <f>+D41</f>
        <v>67</v>
      </c>
      <c r="K44" s="222"/>
      <c r="L44" s="222"/>
      <c r="M44" s="222"/>
      <c r="N44" s="222"/>
      <c r="O44" s="222"/>
      <c r="P44" s="222"/>
      <c r="Q44" s="222"/>
      <c r="R44" s="222"/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</row>
    <row r="45" spans="1:31" ht="16.5" x14ac:dyDescent="0.3">
      <c r="A45" s="260">
        <v>2</v>
      </c>
      <c r="B45" s="261" t="s">
        <v>61</v>
      </c>
      <c r="C45" s="261"/>
      <c r="D45" s="262"/>
      <c r="E45" s="261"/>
      <c r="F45" s="261"/>
      <c r="G45" s="261"/>
      <c r="H45" s="263"/>
      <c r="I45" s="266"/>
      <c r="J45" s="267"/>
      <c r="K45" s="222"/>
      <c r="L45" s="222"/>
      <c r="M45" s="222"/>
      <c r="N45" s="222"/>
      <c r="O45" s="222"/>
      <c r="P45" s="222"/>
      <c r="Q45" s="222"/>
      <c r="R45" s="222"/>
      <c r="S45" s="222"/>
      <c r="T45" s="222"/>
      <c r="U45" s="222"/>
      <c r="V45" s="222"/>
      <c r="W45" s="222"/>
      <c r="X45" s="222"/>
      <c r="Y45" s="222"/>
      <c r="Z45" s="222"/>
      <c r="AA45" s="222"/>
      <c r="AB45" s="222"/>
      <c r="AC45" s="222"/>
      <c r="AD45" s="222"/>
      <c r="AE45" s="222"/>
    </row>
    <row r="46" spans="1:31" ht="16.5" x14ac:dyDescent="0.3">
      <c r="A46" s="268"/>
      <c r="B46" s="261"/>
      <c r="C46" s="261"/>
      <c r="D46" s="262"/>
      <c r="E46" s="261"/>
      <c r="F46" s="261"/>
      <c r="G46" s="261"/>
      <c r="H46" s="263"/>
      <c r="I46" s="264"/>
      <c r="J46" s="265">
        <f>+D42</f>
        <v>0</v>
      </c>
      <c r="K46" s="222"/>
      <c r="L46" s="222"/>
      <c r="M46" s="222"/>
      <c r="N46" s="222"/>
      <c r="O46" s="222"/>
      <c r="P46" s="222"/>
      <c r="Q46" s="222"/>
      <c r="R46" s="222"/>
      <c r="S46" s="222"/>
      <c r="T46" s="222"/>
      <c r="U46" s="222"/>
      <c r="V46" s="222"/>
      <c r="W46" s="222"/>
      <c r="X46" s="222"/>
      <c r="Y46" s="222"/>
      <c r="Z46" s="222"/>
      <c r="AA46" s="222"/>
      <c r="AB46" s="222"/>
      <c r="AC46" s="222"/>
      <c r="AD46" s="222"/>
      <c r="AE46" s="222"/>
    </row>
    <row r="47" spans="1:31" ht="17.25" thickBot="1" x14ac:dyDescent="0.35">
      <c r="A47" s="268" t="s">
        <v>62</v>
      </c>
      <c r="B47" s="261"/>
      <c r="C47" s="261"/>
      <c r="D47" s="262"/>
      <c r="E47" s="261"/>
      <c r="F47" s="261"/>
      <c r="G47" s="261"/>
      <c r="H47" s="263"/>
      <c r="I47" s="264"/>
      <c r="J47" s="269">
        <f>J41-J44</f>
        <v>3.5761506849315055</v>
      </c>
      <c r="K47" s="249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22"/>
      <c r="X47" s="222"/>
      <c r="Y47" s="222"/>
      <c r="Z47" s="222"/>
      <c r="AA47" s="222"/>
      <c r="AB47" s="222"/>
      <c r="AC47" s="222"/>
      <c r="AD47" s="222"/>
      <c r="AE47" s="222"/>
    </row>
    <row r="48" spans="1:31" ht="17.25" thickBot="1" x14ac:dyDescent="0.35">
      <c r="A48" s="270"/>
      <c r="B48" s="271"/>
      <c r="C48" s="271"/>
      <c r="D48" s="272"/>
      <c r="E48" s="271"/>
      <c r="F48" s="271"/>
      <c r="G48" s="271"/>
      <c r="H48" s="273"/>
      <c r="I48" s="274"/>
      <c r="J48" s="275"/>
      <c r="K48" s="222"/>
      <c r="L48" s="222"/>
      <c r="M48" s="222"/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</row>
    <row r="49" spans="1:31" ht="16.5" x14ac:dyDescent="0.3">
      <c r="A49" s="280" t="s">
        <v>63</v>
      </c>
      <c r="B49" s="281"/>
      <c r="C49" s="281"/>
      <c r="D49" s="282"/>
      <c r="E49" s="261"/>
      <c r="F49" s="261"/>
      <c r="G49" s="261"/>
      <c r="H49" s="261"/>
      <c r="I49" s="283"/>
      <c r="J49" s="284"/>
      <c r="K49" s="222"/>
      <c r="L49" s="222"/>
      <c r="M49" s="222"/>
      <c r="N49" s="222"/>
      <c r="O49" s="222"/>
      <c r="P49" s="222"/>
      <c r="Q49" s="222"/>
      <c r="R49" s="222"/>
      <c r="S49" s="222"/>
      <c r="T49" s="222"/>
      <c r="U49" s="222"/>
      <c r="V49" s="222"/>
      <c r="W49" s="222"/>
      <c r="X49" s="222"/>
      <c r="Y49" s="222"/>
      <c r="Z49" s="222"/>
      <c r="AA49" s="222"/>
      <c r="AB49" s="222"/>
      <c r="AC49" s="222"/>
      <c r="AD49" s="222"/>
      <c r="AE49" s="222"/>
    </row>
    <row r="50" spans="1:31" ht="16.5" x14ac:dyDescent="0.3">
      <c r="A50" s="285">
        <v>1</v>
      </c>
      <c r="B50" s="261" t="s">
        <v>64</v>
      </c>
      <c r="C50" s="261"/>
      <c r="D50" s="286">
        <f>+E41</f>
        <v>21</v>
      </c>
      <c r="E50" s="261"/>
      <c r="F50" s="261"/>
      <c r="G50" s="261"/>
      <c r="H50" s="261"/>
      <c r="I50" s="283"/>
      <c r="J50" s="284"/>
      <c r="K50" s="222"/>
      <c r="L50" s="222"/>
      <c r="M50" s="222"/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</row>
    <row r="51" spans="1:31" ht="16.5" x14ac:dyDescent="0.3">
      <c r="A51" s="287">
        <v>2</v>
      </c>
      <c r="B51" s="261" t="s">
        <v>65</v>
      </c>
      <c r="C51" s="261"/>
      <c r="D51" s="288">
        <f>+F41</f>
        <v>0</v>
      </c>
      <c r="E51" s="261"/>
      <c r="F51" s="261"/>
      <c r="G51" s="261"/>
      <c r="H51" s="261"/>
      <c r="I51" s="283"/>
      <c r="J51" s="284"/>
      <c r="K51" s="222"/>
      <c r="L51" s="222"/>
      <c r="M51" s="222"/>
      <c r="N51" s="222"/>
      <c r="O51" s="222"/>
      <c r="P51" s="222"/>
      <c r="Q51" s="222"/>
      <c r="R51" s="222"/>
      <c r="S51" s="222"/>
      <c r="T51" s="222"/>
      <c r="U51" s="222"/>
      <c r="V51" s="222"/>
      <c r="W51" s="222"/>
      <c r="X51" s="222"/>
      <c r="Y51" s="222"/>
      <c r="Z51" s="222"/>
      <c r="AA51" s="222"/>
      <c r="AB51" s="222"/>
      <c r="AC51" s="222"/>
      <c r="AD51" s="222"/>
      <c r="AE51" s="222"/>
    </row>
    <row r="52" spans="1:31" ht="16.5" x14ac:dyDescent="0.3">
      <c r="A52" s="287">
        <v>3</v>
      </c>
      <c r="B52" s="261" t="s">
        <v>66</v>
      </c>
      <c r="C52" s="261"/>
      <c r="D52" s="288">
        <f>+G41</f>
        <v>0</v>
      </c>
      <c r="E52" s="261"/>
      <c r="F52" s="261"/>
      <c r="G52" s="261"/>
      <c r="H52" s="261"/>
      <c r="I52" s="283"/>
      <c r="J52" s="284"/>
      <c r="K52" s="222"/>
      <c r="L52" s="222"/>
      <c r="M52" s="222"/>
      <c r="N52" s="222"/>
      <c r="O52" s="222"/>
      <c r="P52" s="222"/>
      <c r="Q52" s="222"/>
      <c r="R52" s="222"/>
      <c r="S52" s="222"/>
      <c r="T52" s="222"/>
      <c r="U52" s="222"/>
      <c r="V52" s="222"/>
      <c r="W52" s="222"/>
      <c r="X52" s="222"/>
      <c r="Y52" s="222"/>
      <c r="Z52" s="222"/>
      <c r="AA52" s="222"/>
      <c r="AB52" s="222"/>
      <c r="AC52" s="222"/>
      <c r="AD52" s="222"/>
      <c r="AE52" s="222"/>
    </row>
    <row r="53" spans="1:31" ht="16.5" x14ac:dyDescent="0.3">
      <c r="A53" s="103">
        <v>4</v>
      </c>
      <c r="B53" s="85" t="s">
        <v>42</v>
      </c>
      <c r="C53" s="85"/>
      <c r="D53" s="118">
        <f>+H41</f>
        <v>0</v>
      </c>
      <c r="E53" s="85"/>
      <c r="F53" s="85"/>
      <c r="G53" s="85"/>
      <c r="H53" s="85"/>
      <c r="I53" s="100"/>
      <c r="J53" s="101"/>
    </row>
    <row r="54" spans="1:31" ht="17.25" thickBot="1" x14ac:dyDescent="0.35">
      <c r="A54" s="104" t="s">
        <v>67</v>
      </c>
      <c r="B54" s="105"/>
      <c r="C54" s="106"/>
      <c r="D54" s="119">
        <f>+D50+D51+D52+D53</f>
        <v>21</v>
      </c>
      <c r="E54" s="85"/>
      <c r="F54" s="85"/>
      <c r="G54" s="85"/>
      <c r="H54" s="85"/>
      <c r="I54" s="100"/>
      <c r="J54" s="101"/>
    </row>
    <row r="55" spans="1:31" ht="17.25" thickTop="1" x14ac:dyDescent="0.3">
      <c r="A55" s="89"/>
      <c r="B55" s="99"/>
      <c r="C55" s="99"/>
      <c r="D55" s="120"/>
      <c r="E55" s="85"/>
      <c r="F55" s="85"/>
      <c r="G55" s="85"/>
      <c r="H55" s="85"/>
      <c r="I55" s="100"/>
      <c r="J55" s="101"/>
    </row>
    <row r="56" spans="1:31" ht="16.5" x14ac:dyDescent="0.3">
      <c r="A56" s="107"/>
      <c r="B56" s="108"/>
      <c r="C56" s="108"/>
      <c r="D56" s="121"/>
      <c r="E56" s="108"/>
      <c r="F56" s="108"/>
      <c r="G56" s="108"/>
      <c r="H56" s="108"/>
      <c r="I56" s="108"/>
      <c r="J56" s="109"/>
    </row>
    <row r="57" spans="1:31" ht="16.5" x14ac:dyDescent="0.3">
      <c r="A57" s="59"/>
      <c r="B57" s="59"/>
      <c r="C57" s="59"/>
      <c r="D57" s="112"/>
      <c r="E57" s="59"/>
      <c r="F57" s="59"/>
      <c r="G57" s="59"/>
      <c r="H57" s="59"/>
      <c r="I57" s="59"/>
      <c r="J57" s="64"/>
    </row>
    <row r="58" spans="1:31" ht="16.5" x14ac:dyDescent="0.3">
      <c r="A58" s="59"/>
      <c r="B58" s="59"/>
      <c r="C58" s="59"/>
      <c r="D58" s="112"/>
      <c r="E58" s="59"/>
      <c r="F58" s="59"/>
      <c r="G58" s="59"/>
      <c r="H58" s="59"/>
      <c r="I58" s="59"/>
      <c r="J58" s="64"/>
    </row>
    <row r="59" spans="1:31" ht="16.5" x14ac:dyDescent="0.3">
      <c r="A59" s="59" t="s">
        <v>68</v>
      </c>
      <c r="B59" s="59"/>
      <c r="C59" s="59"/>
      <c r="D59" s="112"/>
      <c r="E59" s="59" t="s">
        <v>69</v>
      </c>
      <c r="F59" s="59"/>
      <c r="G59" s="59"/>
      <c r="H59" s="59"/>
      <c r="I59" s="59"/>
      <c r="J59" s="64"/>
    </row>
    <row r="60" spans="1:31" ht="16.5" x14ac:dyDescent="0.3">
      <c r="A60" s="59" t="s">
        <v>70</v>
      </c>
      <c r="B60" s="59"/>
      <c r="C60" s="59"/>
      <c r="D60" s="112"/>
      <c r="E60" s="59" t="s">
        <v>71</v>
      </c>
      <c r="F60" s="59"/>
      <c r="G60" s="59"/>
      <c r="H60" s="59"/>
      <c r="I60" s="59"/>
      <c r="J60" s="64"/>
    </row>
  </sheetData>
  <mergeCells count="2">
    <mergeCell ref="J6:J7"/>
    <mergeCell ref="A43:J43"/>
  </mergeCells>
  <pageMargins left="0.7" right="0.7" top="0.75" bottom="0.75" header="0.3" footer="0.3"/>
  <pageSetup paperSize="9" scale="78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C59"/>
  <sheetViews>
    <sheetView topLeftCell="A7" zoomScaleNormal="100" workbookViewId="0">
      <selection activeCell="L28" sqref="L28"/>
    </sheetView>
  </sheetViews>
  <sheetFormatPr defaultRowHeight="12.75" x14ac:dyDescent="0.2"/>
  <cols>
    <col min="1" max="1" width="4.85546875" customWidth="1"/>
    <col min="2" max="2" width="17.85546875" customWidth="1"/>
    <col min="3" max="3" width="11.7109375" customWidth="1"/>
    <col min="4" max="4" width="9.28515625" style="122" bestFit="1" customWidth="1"/>
    <col min="5" max="5" width="9.28515625" bestFit="1" customWidth="1"/>
    <col min="6" max="6" width="10.28515625" bestFit="1" customWidth="1"/>
    <col min="7" max="8" width="9.28515625" bestFit="1" customWidth="1"/>
    <col min="9" max="9" width="9.42578125" bestFit="1" customWidth="1"/>
    <col min="10" max="10" width="9.7109375" customWidth="1"/>
  </cols>
  <sheetData>
    <row r="1" spans="1:29" ht="17.25" thickBot="1" x14ac:dyDescent="0.35">
      <c r="A1" s="223"/>
      <c r="B1" s="223"/>
      <c r="C1" s="224" t="s">
        <v>29</v>
      </c>
      <c r="D1" s="225"/>
      <c r="E1" s="223"/>
      <c r="F1" s="226" t="s">
        <v>128</v>
      </c>
      <c r="G1" s="227"/>
      <c r="H1" s="228"/>
      <c r="I1" s="223"/>
      <c r="J1" s="229"/>
      <c r="K1" s="222"/>
      <c r="L1" s="222"/>
      <c r="M1" s="222"/>
      <c r="N1" s="222"/>
      <c r="O1" s="222"/>
      <c r="P1" s="222"/>
      <c r="Q1" s="222"/>
      <c r="R1" s="222"/>
      <c r="S1" s="222"/>
      <c r="T1" s="222"/>
      <c r="U1" s="222"/>
      <c r="V1" s="222"/>
      <c r="W1" s="222"/>
      <c r="X1" s="222"/>
      <c r="Y1" s="222"/>
      <c r="Z1" s="222"/>
      <c r="AA1" s="222"/>
      <c r="AB1" s="222"/>
      <c r="AC1" s="222"/>
    </row>
    <row r="2" spans="1:29" ht="16.5" x14ac:dyDescent="0.3">
      <c r="A2" s="223" t="s">
        <v>30</v>
      </c>
      <c r="B2" s="223"/>
      <c r="C2" s="230" t="s">
        <v>31</v>
      </c>
      <c r="D2" s="225"/>
      <c r="E2" s="230"/>
      <c r="F2" s="223"/>
      <c r="G2" s="223"/>
      <c r="H2" s="223"/>
      <c r="I2" s="223"/>
      <c r="J2" s="229"/>
      <c r="K2" s="222"/>
      <c r="L2" s="222"/>
      <c r="M2" s="222"/>
      <c r="N2" s="222"/>
      <c r="O2" s="222"/>
      <c r="P2" s="222"/>
      <c r="Q2" s="222"/>
      <c r="R2" s="222"/>
      <c r="S2" s="222"/>
      <c r="T2" s="222"/>
      <c r="U2" s="222"/>
      <c r="V2" s="222"/>
      <c r="W2" s="222"/>
      <c r="X2" s="222"/>
      <c r="Y2" s="222"/>
      <c r="Z2" s="222"/>
      <c r="AA2" s="222"/>
      <c r="AB2" s="222"/>
      <c r="AC2" s="222"/>
    </row>
    <row r="3" spans="1:29" ht="16.5" x14ac:dyDescent="0.3">
      <c r="A3" s="223" t="s">
        <v>32</v>
      </c>
      <c r="B3" s="223"/>
      <c r="C3" s="230">
        <v>13</v>
      </c>
      <c r="D3" s="225"/>
      <c r="E3" s="223"/>
      <c r="F3" s="223"/>
      <c r="G3" s="223"/>
      <c r="H3" s="223"/>
      <c r="I3" s="223"/>
      <c r="J3" s="229"/>
      <c r="K3" s="222"/>
      <c r="L3" s="222"/>
      <c r="M3" s="222"/>
      <c r="N3" s="222"/>
      <c r="O3" s="222"/>
      <c r="P3" s="222"/>
      <c r="Q3" s="222"/>
      <c r="R3" s="222"/>
      <c r="S3" s="222"/>
      <c r="T3" s="222"/>
      <c r="U3" s="222"/>
      <c r="V3" s="222"/>
      <c r="W3" s="222"/>
      <c r="X3" s="222"/>
      <c r="Y3" s="222"/>
      <c r="Z3" s="222"/>
      <c r="AA3" s="222"/>
      <c r="AB3" s="222"/>
      <c r="AC3" s="222"/>
    </row>
    <row r="4" spans="1:29" ht="16.5" x14ac:dyDescent="0.3">
      <c r="A4" s="223" t="s">
        <v>33</v>
      </c>
      <c r="B4" s="223"/>
      <c r="C4" s="231">
        <v>39197</v>
      </c>
      <c r="D4" s="225"/>
      <c r="E4" s="223"/>
      <c r="F4" s="223"/>
      <c r="G4" s="223"/>
      <c r="H4" s="223"/>
      <c r="I4" s="223"/>
      <c r="J4" s="229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</row>
    <row r="5" spans="1:29" ht="16.5" x14ac:dyDescent="0.3">
      <c r="A5" s="223" t="s">
        <v>34</v>
      </c>
      <c r="B5" s="223"/>
      <c r="C5" s="231" t="s">
        <v>129</v>
      </c>
      <c r="D5" s="225"/>
      <c r="E5" s="223"/>
      <c r="F5" s="223"/>
      <c r="G5" s="223"/>
      <c r="H5" s="223"/>
      <c r="I5" s="223"/>
      <c r="J5" s="229"/>
      <c r="K5" s="222"/>
      <c r="L5" s="222"/>
      <c r="M5" s="222"/>
      <c r="N5" s="222"/>
      <c r="O5" s="222"/>
      <c r="P5" s="222"/>
      <c r="Q5" s="222"/>
      <c r="R5" s="222"/>
      <c r="S5" s="222"/>
      <c r="T5" s="222"/>
      <c r="U5" s="222"/>
      <c r="V5" s="222"/>
      <c r="W5" s="222"/>
      <c r="X5" s="222"/>
      <c r="Y5" s="222"/>
      <c r="Z5" s="222"/>
      <c r="AA5" s="222"/>
      <c r="AB5" s="222"/>
      <c r="AC5" s="222"/>
    </row>
    <row r="6" spans="1:29" ht="28.9" customHeight="1" x14ac:dyDescent="0.25">
      <c r="A6" s="232" t="s">
        <v>35</v>
      </c>
      <c r="B6" s="232" t="s">
        <v>36</v>
      </c>
      <c r="C6" s="233" t="s">
        <v>37</v>
      </c>
      <c r="D6" s="233" t="s">
        <v>38</v>
      </c>
      <c r="E6" s="234" t="s">
        <v>39</v>
      </c>
      <c r="F6" s="233" t="s">
        <v>40</v>
      </c>
      <c r="G6" s="234" t="s">
        <v>41</v>
      </c>
      <c r="H6" s="233" t="s">
        <v>42</v>
      </c>
      <c r="I6" s="234" t="s">
        <v>43</v>
      </c>
      <c r="J6" s="323" t="s">
        <v>44</v>
      </c>
      <c r="K6" s="222"/>
      <c r="L6" s="222"/>
      <c r="M6" s="222"/>
      <c r="N6" s="222"/>
      <c r="O6" s="222"/>
      <c r="P6" s="222"/>
      <c r="Q6" s="222"/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.75" thickBot="1" x14ac:dyDescent="0.3">
      <c r="A7" s="235" t="s">
        <v>45</v>
      </c>
      <c r="B7" s="235"/>
      <c r="C7" s="236" t="s">
        <v>36</v>
      </c>
      <c r="D7" s="236"/>
      <c r="E7" s="237"/>
      <c r="F7" s="236"/>
      <c r="G7" s="237"/>
      <c r="H7" s="236"/>
      <c r="I7" s="237" t="s">
        <v>46</v>
      </c>
      <c r="J7" s="324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6.5" x14ac:dyDescent="0.3">
      <c r="A8" s="325" t="s">
        <v>72</v>
      </c>
      <c r="B8" s="326"/>
      <c r="C8" s="327"/>
      <c r="D8" s="238"/>
      <c r="E8" s="239"/>
      <c r="F8" s="239"/>
      <c r="G8" s="239"/>
      <c r="H8" s="239"/>
      <c r="I8" s="239"/>
      <c r="J8" s="74">
        <v>22.05</v>
      </c>
      <c r="K8" s="222"/>
      <c r="L8" s="222"/>
      <c r="M8" s="222"/>
      <c r="N8" s="222"/>
      <c r="O8" s="222"/>
      <c r="P8" s="222"/>
      <c r="Q8" s="222"/>
      <c r="R8" s="222"/>
      <c r="S8" s="222"/>
      <c r="T8" s="222"/>
      <c r="U8" s="222"/>
      <c r="V8" s="222"/>
      <c r="W8" s="222"/>
      <c r="X8" s="222"/>
      <c r="Y8" s="222"/>
      <c r="Z8" s="222"/>
      <c r="AA8" s="222"/>
      <c r="AB8" s="222"/>
      <c r="AC8" s="222"/>
    </row>
    <row r="9" spans="1:29" ht="16.5" x14ac:dyDescent="0.3">
      <c r="A9" s="239"/>
      <c r="B9" s="240">
        <v>2014</v>
      </c>
      <c r="C9" s="239"/>
      <c r="D9" s="238"/>
      <c r="E9" s="239"/>
      <c r="F9" s="239"/>
      <c r="G9" s="239"/>
      <c r="H9" s="239"/>
      <c r="I9" s="239"/>
      <c r="J9" s="241"/>
      <c r="K9" s="222"/>
      <c r="L9" s="222"/>
      <c r="M9" s="222"/>
      <c r="N9" s="222"/>
      <c r="O9" s="222"/>
      <c r="P9" s="222"/>
      <c r="Q9" s="222"/>
      <c r="R9" s="222"/>
      <c r="S9" s="222"/>
      <c r="T9" s="222"/>
      <c r="U9" s="222"/>
      <c r="V9" s="222"/>
      <c r="W9" s="222"/>
      <c r="X9" s="222"/>
      <c r="Y9" s="222"/>
      <c r="Z9" s="222"/>
      <c r="AA9" s="222"/>
      <c r="AB9" s="222"/>
      <c r="AC9" s="222"/>
    </row>
    <row r="10" spans="1:29" ht="16.5" x14ac:dyDescent="0.3">
      <c r="A10" s="238">
        <v>1</v>
      </c>
      <c r="B10" s="242" t="s">
        <v>54</v>
      </c>
      <c r="C10" s="238">
        <v>30</v>
      </c>
      <c r="D10" s="238"/>
      <c r="E10" s="239"/>
      <c r="F10" s="239"/>
      <c r="G10" s="239"/>
      <c r="H10" s="239"/>
      <c r="I10" s="238">
        <f>C10-D10-E10-F10</f>
        <v>30</v>
      </c>
      <c r="J10" s="243">
        <f t="shared" ref="J10:J14" si="0">+I10*0.09</f>
        <v>2.6999999999999997</v>
      </c>
      <c r="K10" s="222"/>
      <c r="L10" s="222"/>
      <c r="M10" s="222"/>
      <c r="N10" s="222"/>
      <c r="O10" s="222"/>
      <c r="P10" s="222"/>
      <c r="Q10" s="222"/>
      <c r="R10" s="222"/>
      <c r="S10" s="222"/>
      <c r="T10" s="222"/>
      <c r="U10" s="222"/>
      <c r="V10" s="222"/>
      <c r="W10" s="222"/>
      <c r="X10" s="222"/>
      <c r="Y10" s="222"/>
      <c r="Z10" s="222"/>
      <c r="AA10" s="222"/>
      <c r="AB10" s="222"/>
      <c r="AC10" s="222"/>
    </row>
    <row r="11" spans="1:29" ht="16.5" x14ac:dyDescent="0.3">
      <c r="A11" s="238">
        <v>2</v>
      </c>
      <c r="B11" s="242" t="s">
        <v>55</v>
      </c>
      <c r="C11" s="238">
        <v>31</v>
      </c>
      <c r="D11" s="238"/>
      <c r="E11" s="239"/>
      <c r="F11" s="239"/>
      <c r="G11" s="239"/>
      <c r="H11" s="239"/>
      <c r="I11" s="238">
        <f t="shared" ref="I11:I31" si="1">C11-D11-E11-F11</f>
        <v>31</v>
      </c>
      <c r="J11" s="243">
        <f t="shared" si="0"/>
        <v>2.79</v>
      </c>
      <c r="K11" s="222"/>
      <c r="L11" s="222"/>
      <c r="M11" s="222"/>
      <c r="N11" s="222"/>
      <c r="O11" s="222"/>
      <c r="P11" s="222"/>
      <c r="Q11" s="222"/>
      <c r="R11" s="222"/>
      <c r="S11" s="222"/>
      <c r="T11" s="222"/>
      <c r="U11" s="222"/>
      <c r="V11" s="222"/>
      <c r="W11" s="222"/>
      <c r="X11" s="222"/>
      <c r="Y11" s="222"/>
      <c r="Z11" s="222"/>
      <c r="AA11" s="222"/>
      <c r="AB11" s="222"/>
      <c r="AC11" s="222"/>
    </row>
    <row r="12" spans="1:29" ht="16.5" x14ac:dyDescent="0.3">
      <c r="A12" s="238">
        <v>3</v>
      </c>
      <c r="B12" s="242" t="s">
        <v>56</v>
      </c>
      <c r="C12" s="238">
        <v>30</v>
      </c>
      <c r="D12" s="238"/>
      <c r="E12" s="239"/>
      <c r="F12" s="239"/>
      <c r="G12" s="239"/>
      <c r="H12" s="239"/>
      <c r="I12" s="238">
        <f t="shared" si="1"/>
        <v>30</v>
      </c>
      <c r="J12" s="243">
        <f t="shared" si="0"/>
        <v>2.6999999999999997</v>
      </c>
      <c r="K12" s="222"/>
      <c r="L12" s="222"/>
      <c r="M12" s="222"/>
      <c r="N12" s="222"/>
      <c r="O12" s="222"/>
      <c r="P12" s="222"/>
      <c r="Q12" s="222"/>
      <c r="R12" s="222"/>
      <c r="S12" s="222"/>
      <c r="T12" s="222"/>
      <c r="U12" s="222"/>
      <c r="V12" s="222"/>
      <c r="W12" s="222"/>
      <c r="X12" s="222"/>
      <c r="Y12" s="222"/>
      <c r="Z12" s="222"/>
      <c r="AA12" s="222"/>
      <c r="AB12" s="222"/>
      <c r="AC12" s="222"/>
    </row>
    <row r="13" spans="1:29" ht="16.5" x14ac:dyDescent="0.3">
      <c r="A13" s="238">
        <v>4</v>
      </c>
      <c r="B13" s="242" t="s">
        <v>57</v>
      </c>
      <c r="C13" s="238">
        <v>31</v>
      </c>
      <c r="D13" s="238"/>
      <c r="E13" s="239"/>
      <c r="F13" s="239"/>
      <c r="G13" s="239"/>
      <c r="H13" s="239"/>
      <c r="I13" s="238">
        <f t="shared" si="1"/>
        <v>31</v>
      </c>
      <c r="J13" s="243">
        <f t="shared" si="0"/>
        <v>2.79</v>
      </c>
      <c r="K13" s="222"/>
      <c r="L13" s="222"/>
      <c r="M13" s="222"/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</row>
    <row r="14" spans="1:29" ht="16.5" x14ac:dyDescent="0.3">
      <c r="A14" s="238">
        <v>5</v>
      </c>
      <c r="B14" s="242" t="s">
        <v>73</v>
      </c>
      <c r="C14" s="238">
        <v>31</v>
      </c>
      <c r="D14" s="238">
        <v>29</v>
      </c>
      <c r="E14" s="239"/>
      <c r="F14" s="239"/>
      <c r="G14" s="239"/>
      <c r="H14" s="239"/>
      <c r="I14" s="238">
        <f t="shared" si="1"/>
        <v>2</v>
      </c>
      <c r="J14" s="243">
        <f t="shared" si="0"/>
        <v>0.18</v>
      </c>
      <c r="K14" s="222"/>
      <c r="L14" s="222"/>
      <c r="M14" s="222"/>
      <c r="N14" s="222"/>
      <c r="O14" s="222"/>
      <c r="P14" s="222"/>
      <c r="Q14" s="222"/>
      <c r="R14" s="222"/>
      <c r="S14" s="222"/>
      <c r="T14" s="222"/>
      <c r="U14" s="222"/>
      <c r="V14" s="222"/>
      <c r="W14" s="222"/>
      <c r="X14" s="222"/>
      <c r="Y14" s="222"/>
      <c r="Z14" s="222"/>
      <c r="AA14" s="222"/>
      <c r="AB14" s="222"/>
      <c r="AC14" s="222"/>
    </row>
    <row r="15" spans="1:29" ht="16.5" x14ac:dyDescent="0.3">
      <c r="A15" s="238">
        <v>6</v>
      </c>
      <c r="B15" s="242" t="s">
        <v>47</v>
      </c>
      <c r="C15" s="238">
        <v>30</v>
      </c>
      <c r="D15" s="238">
        <v>1</v>
      </c>
      <c r="E15" s="238"/>
      <c r="F15" s="238"/>
      <c r="G15" s="238"/>
      <c r="H15" s="238"/>
      <c r="I15" s="238">
        <f t="shared" si="1"/>
        <v>29</v>
      </c>
      <c r="J15" s="243">
        <f>+I15*0.09</f>
        <v>2.61</v>
      </c>
      <c r="K15" s="222"/>
      <c r="L15" s="222"/>
      <c r="M15" s="222"/>
      <c r="N15" s="222"/>
      <c r="O15" s="222"/>
      <c r="P15" s="222"/>
      <c r="Q15" s="222"/>
      <c r="R15" s="222"/>
      <c r="S15" s="222"/>
      <c r="T15" s="222"/>
      <c r="U15" s="222"/>
      <c r="V15" s="222"/>
      <c r="W15" s="222"/>
      <c r="X15" s="222"/>
      <c r="Y15" s="222"/>
      <c r="Z15" s="222"/>
      <c r="AA15" s="222"/>
      <c r="AB15" s="222"/>
      <c r="AC15" s="222"/>
    </row>
    <row r="16" spans="1:29" ht="16.5" x14ac:dyDescent="0.3">
      <c r="A16" s="238">
        <v>7</v>
      </c>
      <c r="B16" s="242" t="s">
        <v>48</v>
      </c>
      <c r="C16" s="238">
        <v>31</v>
      </c>
      <c r="D16" s="238"/>
      <c r="E16" s="238"/>
      <c r="F16" s="238"/>
      <c r="G16" s="238"/>
      <c r="H16" s="238"/>
      <c r="I16" s="238">
        <f t="shared" si="1"/>
        <v>31</v>
      </c>
      <c r="J16" s="243">
        <f t="shared" ref="J16:J31" si="2">+I16*0.09</f>
        <v>2.79</v>
      </c>
      <c r="K16" s="222"/>
      <c r="L16" s="222"/>
      <c r="M16" s="222"/>
      <c r="N16" s="222"/>
      <c r="O16" s="222"/>
      <c r="P16" s="222"/>
      <c r="Q16" s="222"/>
      <c r="R16" s="222"/>
      <c r="S16" s="222"/>
      <c r="T16" s="222"/>
      <c r="U16" s="222"/>
      <c r="V16" s="222"/>
      <c r="W16" s="222"/>
      <c r="X16" s="222"/>
      <c r="Y16" s="222"/>
      <c r="Z16" s="222"/>
      <c r="AA16" s="222"/>
      <c r="AB16" s="222"/>
      <c r="AC16" s="222"/>
    </row>
    <row r="17" spans="1:29" ht="16.5" x14ac:dyDescent="0.3">
      <c r="A17" s="238">
        <v>8</v>
      </c>
      <c r="B17" s="242" t="s">
        <v>49</v>
      </c>
      <c r="C17" s="238">
        <v>30</v>
      </c>
      <c r="D17" s="238"/>
      <c r="E17" s="238"/>
      <c r="F17" s="238"/>
      <c r="G17" s="238"/>
      <c r="H17" s="238"/>
      <c r="I17" s="238">
        <f t="shared" si="1"/>
        <v>30</v>
      </c>
      <c r="J17" s="243">
        <f t="shared" si="2"/>
        <v>2.6999999999999997</v>
      </c>
      <c r="K17" s="222"/>
      <c r="L17" s="222"/>
      <c r="M17" s="222"/>
      <c r="N17" s="222"/>
      <c r="O17" s="222"/>
      <c r="P17" s="222"/>
      <c r="Q17" s="222"/>
      <c r="R17" s="222"/>
      <c r="S17" s="222"/>
      <c r="T17" s="222"/>
      <c r="U17" s="222"/>
      <c r="V17" s="222"/>
      <c r="W17" s="222"/>
      <c r="X17" s="222"/>
      <c r="Y17" s="222"/>
      <c r="Z17" s="222"/>
      <c r="AA17" s="222"/>
      <c r="AB17" s="222"/>
      <c r="AC17" s="222"/>
    </row>
    <row r="18" spans="1:29" ht="17.25" thickBot="1" x14ac:dyDescent="0.35">
      <c r="A18" s="238">
        <v>9</v>
      </c>
      <c r="B18" s="244" t="s">
        <v>50</v>
      </c>
      <c r="C18" s="238">
        <v>31</v>
      </c>
      <c r="D18" s="238"/>
      <c r="E18" s="238"/>
      <c r="F18" s="238"/>
      <c r="G18" s="238"/>
      <c r="H18" s="238"/>
      <c r="I18" s="238">
        <f t="shared" si="1"/>
        <v>31</v>
      </c>
      <c r="J18" s="243">
        <f t="shared" si="2"/>
        <v>2.79</v>
      </c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22"/>
      <c r="V18" s="222"/>
      <c r="W18" s="222"/>
      <c r="X18" s="222"/>
      <c r="Y18" s="222"/>
      <c r="Z18" s="222"/>
      <c r="AA18" s="222"/>
      <c r="AB18" s="222"/>
      <c r="AC18" s="222"/>
    </row>
    <row r="19" spans="1:29" ht="17.25" thickBot="1" x14ac:dyDescent="0.35">
      <c r="A19" s="245"/>
      <c r="B19" s="246">
        <v>2015</v>
      </c>
      <c r="C19" s="247"/>
      <c r="D19" s="238"/>
      <c r="E19" s="238"/>
      <c r="F19" s="238"/>
      <c r="G19" s="238"/>
      <c r="H19" s="238"/>
      <c r="I19" s="238">
        <f t="shared" si="1"/>
        <v>0</v>
      </c>
      <c r="J19" s="243">
        <f t="shared" si="2"/>
        <v>0</v>
      </c>
      <c r="K19" s="222"/>
      <c r="L19" s="222"/>
      <c r="M19" s="222"/>
      <c r="N19" s="222"/>
      <c r="O19" s="222"/>
      <c r="P19" s="222"/>
      <c r="Q19" s="222"/>
      <c r="R19" s="222"/>
      <c r="S19" s="222"/>
      <c r="T19" s="222"/>
      <c r="U19" s="222"/>
      <c r="V19" s="222"/>
      <c r="W19" s="222"/>
      <c r="X19" s="222"/>
      <c r="Y19" s="222"/>
      <c r="Z19" s="222"/>
      <c r="AA19" s="222"/>
      <c r="AB19" s="222"/>
      <c r="AC19" s="222"/>
    </row>
    <row r="20" spans="1:29" ht="16.5" x14ac:dyDescent="0.3">
      <c r="A20" s="238">
        <v>10</v>
      </c>
      <c r="B20" s="248" t="s">
        <v>51</v>
      </c>
      <c r="C20" s="238">
        <v>31</v>
      </c>
      <c r="D20" s="238"/>
      <c r="E20" s="238"/>
      <c r="F20" s="238"/>
      <c r="G20" s="238"/>
      <c r="H20" s="238"/>
      <c r="I20" s="238">
        <f t="shared" si="1"/>
        <v>31</v>
      </c>
      <c r="J20" s="243">
        <f t="shared" si="2"/>
        <v>2.79</v>
      </c>
      <c r="K20" s="222"/>
      <c r="L20" s="222"/>
      <c r="M20" s="222"/>
      <c r="N20" s="222"/>
      <c r="O20" s="222"/>
      <c r="P20" s="222"/>
      <c r="Q20" s="222"/>
      <c r="R20" s="222"/>
      <c r="S20" s="222"/>
      <c r="T20" s="222"/>
      <c r="U20" s="222"/>
      <c r="V20" s="222"/>
      <c r="W20" s="222"/>
      <c r="X20" s="222"/>
      <c r="Y20" s="222"/>
      <c r="Z20" s="222"/>
      <c r="AA20" s="222"/>
      <c r="AB20" s="222"/>
      <c r="AC20" s="222"/>
    </row>
    <row r="21" spans="1:29" ht="16.5" x14ac:dyDescent="0.3">
      <c r="A21" s="238">
        <v>11</v>
      </c>
      <c r="B21" s="242" t="s">
        <v>52</v>
      </c>
      <c r="C21" s="238">
        <v>28</v>
      </c>
      <c r="D21" s="238"/>
      <c r="E21" s="238"/>
      <c r="F21" s="238"/>
      <c r="G21" s="238"/>
      <c r="H21" s="238"/>
      <c r="I21" s="238">
        <f t="shared" si="1"/>
        <v>28</v>
      </c>
      <c r="J21" s="243">
        <f t="shared" si="2"/>
        <v>2.52</v>
      </c>
      <c r="K21" s="222"/>
      <c r="L21" s="222"/>
      <c r="M21" s="222"/>
      <c r="N21" s="222"/>
      <c r="O21" s="222"/>
      <c r="P21" s="222"/>
      <c r="Q21" s="222"/>
      <c r="R21" s="222"/>
      <c r="S21" s="222"/>
      <c r="T21" s="222"/>
      <c r="U21" s="222"/>
      <c r="V21" s="222"/>
      <c r="W21" s="222"/>
      <c r="X21" s="222"/>
      <c r="Y21" s="222"/>
      <c r="Z21" s="222"/>
      <c r="AA21" s="222"/>
      <c r="AB21" s="222"/>
      <c r="AC21" s="222"/>
    </row>
    <row r="22" spans="1:29" ht="16.5" x14ac:dyDescent="0.3">
      <c r="A22" s="238">
        <v>12</v>
      </c>
      <c r="B22" s="242" t="s">
        <v>53</v>
      </c>
      <c r="C22" s="238">
        <v>31</v>
      </c>
      <c r="D22" s="238"/>
      <c r="E22" s="238"/>
      <c r="F22" s="238"/>
      <c r="G22" s="238"/>
      <c r="H22" s="238"/>
      <c r="I22" s="238">
        <f t="shared" si="1"/>
        <v>31</v>
      </c>
      <c r="J22" s="243">
        <f t="shared" si="2"/>
        <v>2.79</v>
      </c>
      <c r="K22" s="249"/>
      <c r="L22" s="222"/>
      <c r="M22" s="222"/>
      <c r="N22" s="222"/>
      <c r="O22" s="222"/>
      <c r="P22" s="222"/>
      <c r="Q22" s="222"/>
      <c r="R22" s="222"/>
      <c r="S22" s="222"/>
      <c r="T22" s="222"/>
      <c r="U22" s="222"/>
      <c r="V22" s="222"/>
      <c r="W22" s="222"/>
      <c r="X22" s="222"/>
      <c r="Y22" s="222"/>
      <c r="Z22" s="222"/>
      <c r="AA22" s="222"/>
      <c r="AB22" s="222"/>
      <c r="AC22" s="222"/>
    </row>
    <row r="23" spans="1:29" ht="16.5" x14ac:dyDescent="0.3">
      <c r="A23" s="238">
        <v>13</v>
      </c>
      <c r="B23" s="242" t="s">
        <v>54</v>
      </c>
      <c r="C23" s="238">
        <v>30</v>
      </c>
      <c r="D23" s="238"/>
      <c r="E23" s="238"/>
      <c r="F23" s="238"/>
      <c r="G23" s="238"/>
      <c r="H23" s="238"/>
      <c r="I23" s="238">
        <f t="shared" si="1"/>
        <v>30</v>
      </c>
      <c r="J23" s="243">
        <f t="shared" si="2"/>
        <v>2.6999999999999997</v>
      </c>
      <c r="K23" s="249"/>
      <c r="L23" s="222"/>
      <c r="M23" s="222"/>
      <c r="N23" s="222"/>
      <c r="O23" s="222"/>
      <c r="P23" s="222"/>
      <c r="Q23" s="222"/>
      <c r="R23" s="222"/>
      <c r="S23" s="222"/>
      <c r="T23" s="222"/>
      <c r="U23" s="222"/>
      <c r="V23" s="222"/>
      <c r="W23" s="222"/>
      <c r="X23" s="222"/>
      <c r="Y23" s="222"/>
      <c r="Z23" s="222"/>
      <c r="AA23" s="222"/>
      <c r="AB23" s="222"/>
      <c r="AC23" s="222"/>
    </row>
    <row r="24" spans="1:29" ht="16.5" x14ac:dyDescent="0.3">
      <c r="A24" s="238">
        <v>14</v>
      </c>
      <c r="B24" s="242" t="s">
        <v>55</v>
      </c>
      <c r="C24" s="238">
        <v>31</v>
      </c>
      <c r="D24" s="238"/>
      <c r="E24" s="238"/>
      <c r="F24" s="238"/>
      <c r="G24" s="238"/>
      <c r="H24" s="238"/>
      <c r="I24" s="238">
        <f t="shared" si="1"/>
        <v>31</v>
      </c>
      <c r="J24" s="243">
        <f t="shared" si="2"/>
        <v>2.79</v>
      </c>
      <c r="K24" s="249"/>
      <c r="L24" s="222"/>
      <c r="M24" s="222"/>
      <c r="N24" s="222"/>
      <c r="O24" s="222"/>
      <c r="P24" s="222"/>
      <c r="Q24" s="222"/>
      <c r="R24" s="222"/>
      <c r="S24" s="222"/>
      <c r="T24" s="222"/>
      <c r="U24" s="222"/>
      <c r="V24" s="222"/>
      <c r="W24" s="222"/>
      <c r="X24" s="222"/>
      <c r="Y24" s="222"/>
      <c r="Z24" s="222"/>
      <c r="AA24" s="222"/>
      <c r="AB24" s="222"/>
      <c r="AC24" s="222"/>
    </row>
    <row r="25" spans="1:29" ht="16.5" x14ac:dyDescent="0.3">
      <c r="A25" s="238">
        <v>15</v>
      </c>
      <c r="B25" s="242" t="s">
        <v>56</v>
      </c>
      <c r="C25" s="238">
        <v>30</v>
      </c>
      <c r="D25" s="238"/>
      <c r="E25" s="238"/>
      <c r="F25" s="238"/>
      <c r="G25" s="238"/>
      <c r="H25" s="238"/>
      <c r="I25" s="238">
        <f t="shared" si="1"/>
        <v>30</v>
      </c>
      <c r="J25" s="243">
        <f t="shared" si="2"/>
        <v>2.6999999999999997</v>
      </c>
      <c r="K25" s="249"/>
      <c r="L25" s="222"/>
      <c r="M25" s="222"/>
      <c r="N25" s="222"/>
      <c r="O25" s="222"/>
      <c r="P25" s="222"/>
      <c r="Q25" s="222"/>
      <c r="R25" s="222"/>
      <c r="S25" s="222"/>
      <c r="T25" s="222"/>
      <c r="U25" s="222"/>
      <c r="V25" s="222"/>
      <c r="W25" s="222"/>
      <c r="X25" s="222"/>
      <c r="Y25" s="222"/>
      <c r="Z25" s="222"/>
      <c r="AA25" s="222"/>
      <c r="AB25" s="222"/>
      <c r="AC25" s="222"/>
    </row>
    <row r="26" spans="1:29" ht="17.25" customHeight="1" x14ac:dyDescent="0.3">
      <c r="A26" s="238">
        <v>16</v>
      </c>
      <c r="B26" s="242" t="s">
        <v>57</v>
      </c>
      <c r="C26" s="238">
        <v>31</v>
      </c>
      <c r="D26" s="238">
        <v>6</v>
      </c>
      <c r="E26" s="238"/>
      <c r="F26" s="238"/>
      <c r="G26" s="238"/>
      <c r="H26" s="238"/>
      <c r="I26" s="238">
        <f t="shared" si="1"/>
        <v>25</v>
      </c>
      <c r="J26" s="243">
        <f t="shared" si="2"/>
        <v>2.25</v>
      </c>
      <c r="K26" s="249"/>
      <c r="L26" s="222"/>
      <c r="M26" s="222"/>
      <c r="N26" s="222"/>
      <c r="O26" s="222"/>
      <c r="P26" s="222"/>
      <c r="Q26" s="222"/>
      <c r="R26" s="222"/>
      <c r="S26" s="222"/>
      <c r="T26" s="222"/>
      <c r="U26" s="222"/>
      <c r="V26" s="222"/>
      <c r="W26" s="222"/>
      <c r="X26" s="222"/>
      <c r="Y26" s="222"/>
      <c r="Z26" s="222"/>
      <c r="AA26" s="222"/>
      <c r="AB26" s="222"/>
      <c r="AC26" s="222"/>
    </row>
    <row r="27" spans="1:29" ht="17.25" customHeight="1" x14ac:dyDescent="0.3">
      <c r="A27" s="238">
        <v>17</v>
      </c>
      <c r="B27" s="242" t="s">
        <v>73</v>
      </c>
      <c r="C27" s="247">
        <v>31</v>
      </c>
      <c r="D27" s="247">
        <v>23</v>
      </c>
      <c r="E27" s="247"/>
      <c r="F27" s="247"/>
      <c r="G27" s="247"/>
      <c r="H27" s="247"/>
      <c r="I27" s="247">
        <f t="shared" si="1"/>
        <v>8</v>
      </c>
      <c r="J27" s="250">
        <f t="shared" si="2"/>
        <v>0.72</v>
      </c>
      <c r="K27" s="249"/>
      <c r="L27" s="222"/>
      <c r="M27" s="222"/>
      <c r="N27" s="222"/>
      <c r="O27" s="222"/>
      <c r="P27" s="222"/>
      <c r="Q27" s="222"/>
      <c r="R27" s="222"/>
      <c r="S27" s="222"/>
      <c r="T27" s="222"/>
      <c r="U27" s="222"/>
      <c r="V27" s="222"/>
      <c r="W27" s="222"/>
      <c r="X27" s="222"/>
      <c r="Y27" s="222"/>
      <c r="Z27" s="222"/>
      <c r="AA27" s="222"/>
      <c r="AB27" s="222"/>
      <c r="AC27" s="222"/>
    </row>
    <row r="28" spans="1:29" ht="17.25" customHeight="1" x14ac:dyDescent="0.3">
      <c r="A28" s="238">
        <v>18</v>
      </c>
      <c r="B28" s="242" t="s">
        <v>47</v>
      </c>
      <c r="C28" s="247">
        <v>30</v>
      </c>
      <c r="D28" s="247"/>
      <c r="E28" s="247"/>
      <c r="F28" s="247"/>
      <c r="G28" s="247"/>
      <c r="H28" s="247"/>
      <c r="I28" s="247">
        <f t="shared" si="1"/>
        <v>30</v>
      </c>
      <c r="J28" s="250">
        <f t="shared" si="2"/>
        <v>2.6999999999999997</v>
      </c>
      <c r="K28" s="249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</row>
    <row r="29" spans="1:29" ht="17.25" customHeight="1" x14ac:dyDescent="0.3">
      <c r="A29" s="238">
        <v>19</v>
      </c>
      <c r="B29" s="242" t="s">
        <v>48</v>
      </c>
      <c r="C29" s="247">
        <v>31</v>
      </c>
      <c r="D29" s="247"/>
      <c r="E29" s="247"/>
      <c r="F29" s="247"/>
      <c r="G29" s="247"/>
      <c r="H29" s="247"/>
      <c r="I29" s="247">
        <f t="shared" si="1"/>
        <v>31</v>
      </c>
      <c r="J29" s="250">
        <f t="shared" si="2"/>
        <v>2.79</v>
      </c>
      <c r="K29" s="249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</row>
    <row r="30" spans="1:29" ht="17.25" customHeight="1" x14ac:dyDescent="0.3">
      <c r="A30" s="238">
        <v>20</v>
      </c>
      <c r="B30" s="242" t="s">
        <v>49</v>
      </c>
      <c r="C30" s="247">
        <v>30</v>
      </c>
      <c r="D30" s="247"/>
      <c r="E30" s="247"/>
      <c r="F30" s="247"/>
      <c r="G30" s="247"/>
      <c r="H30" s="247"/>
      <c r="I30" s="247">
        <f t="shared" si="1"/>
        <v>30</v>
      </c>
      <c r="J30" s="250">
        <f t="shared" si="2"/>
        <v>2.6999999999999997</v>
      </c>
      <c r="K30" s="249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2"/>
      <c r="AB30" s="222"/>
      <c r="AC30" s="222"/>
    </row>
    <row r="31" spans="1:29" ht="17.25" customHeight="1" thickBot="1" x14ac:dyDescent="0.35">
      <c r="A31" s="238">
        <v>21</v>
      </c>
      <c r="B31" s="244" t="s">
        <v>50</v>
      </c>
      <c r="C31" s="247">
        <v>31</v>
      </c>
      <c r="D31" s="247"/>
      <c r="E31" s="247"/>
      <c r="F31" s="247"/>
      <c r="G31" s="247"/>
      <c r="H31" s="247"/>
      <c r="I31" s="247">
        <f t="shared" si="1"/>
        <v>31</v>
      </c>
      <c r="J31" s="250">
        <f t="shared" si="2"/>
        <v>2.79</v>
      </c>
      <c r="K31" s="249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</row>
    <row r="32" spans="1:29" ht="17.25" customHeight="1" thickBot="1" x14ac:dyDescent="0.35">
      <c r="A32" s="245"/>
      <c r="B32" s="251">
        <v>2016</v>
      </c>
      <c r="C32" s="247"/>
      <c r="D32" s="247"/>
      <c r="E32" s="247"/>
      <c r="F32" s="247"/>
      <c r="G32" s="247"/>
      <c r="H32" s="247"/>
      <c r="I32" s="247">
        <f t="shared" ref="I32:I39" si="3">C32-D32-E32-F32</f>
        <v>0</v>
      </c>
      <c r="J32" s="250">
        <f t="shared" ref="J32:J39" si="4">+I32*0.09</f>
        <v>0</v>
      </c>
      <c r="K32" s="249"/>
      <c r="L32" s="222"/>
      <c r="M32" s="222"/>
      <c r="N32" s="222"/>
      <c r="O32" s="222"/>
      <c r="P32" s="222"/>
      <c r="Q32" s="222"/>
      <c r="R32" s="222"/>
      <c r="S32" s="222"/>
      <c r="T32" s="222"/>
      <c r="U32" s="222"/>
      <c r="V32" s="222"/>
      <c r="W32" s="222"/>
      <c r="X32" s="222"/>
      <c r="Y32" s="222"/>
      <c r="Z32" s="222"/>
      <c r="AA32" s="222"/>
      <c r="AB32" s="222"/>
      <c r="AC32" s="222"/>
    </row>
    <row r="33" spans="1:29" ht="17.25" customHeight="1" x14ac:dyDescent="0.3">
      <c r="A33" s="245">
        <v>22</v>
      </c>
      <c r="B33" s="252" t="s">
        <v>51</v>
      </c>
      <c r="C33" s="247">
        <v>31</v>
      </c>
      <c r="D33" s="247"/>
      <c r="E33" s="247"/>
      <c r="F33" s="247"/>
      <c r="G33" s="247"/>
      <c r="H33" s="247"/>
      <c r="I33" s="247">
        <f t="shared" si="3"/>
        <v>31</v>
      </c>
      <c r="J33" s="250">
        <f t="shared" si="4"/>
        <v>2.79</v>
      </c>
      <c r="K33" s="249"/>
      <c r="L33" s="222"/>
      <c r="M33" s="222"/>
      <c r="N33" s="222"/>
      <c r="O33" s="222"/>
      <c r="P33" s="222"/>
      <c r="Q33" s="222"/>
      <c r="R33" s="222"/>
      <c r="S33" s="222"/>
      <c r="T33" s="222"/>
      <c r="U33" s="222"/>
      <c r="V33" s="222"/>
      <c r="W33" s="222"/>
      <c r="X33" s="222"/>
      <c r="Y33" s="222"/>
      <c r="Z33" s="222"/>
      <c r="AA33" s="222"/>
      <c r="AB33" s="222"/>
      <c r="AC33" s="222"/>
    </row>
    <row r="34" spans="1:29" ht="17.25" customHeight="1" x14ac:dyDescent="0.3">
      <c r="A34" s="245">
        <v>23</v>
      </c>
      <c r="B34" s="252" t="s">
        <v>52</v>
      </c>
      <c r="C34" s="247">
        <v>29</v>
      </c>
      <c r="D34" s="247"/>
      <c r="E34" s="247">
        <v>1</v>
      </c>
      <c r="F34" s="247"/>
      <c r="G34" s="247"/>
      <c r="H34" s="247"/>
      <c r="I34" s="247">
        <f t="shared" si="3"/>
        <v>28</v>
      </c>
      <c r="J34" s="250">
        <f t="shared" si="4"/>
        <v>2.52</v>
      </c>
      <c r="K34" s="249"/>
      <c r="L34" s="222"/>
      <c r="M34" s="222"/>
      <c r="N34" s="222"/>
      <c r="O34" s="222"/>
      <c r="P34" s="222"/>
      <c r="Q34" s="222"/>
      <c r="R34" s="222"/>
      <c r="S34" s="222"/>
      <c r="T34" s="222"/>
      <c r="U34" s="222"/>
      <c r="V34" s="222"/>
      <c r="W34" s="222"/>
      <c r="X34" s="222"/>
      <c r="Y34" s="222"/>
      <c r="Z34" s="222"/>
      <c r="AA34" s="222"/>
      <c r="AB34" s="222"/>
      <c r="AC34" s="222"/>
    </row>
    <row r="35" spans="1:29" ht="17.25" customHeight="1" x14ac:dyDescent="0.3">
      <c r="A35" s="245">
        <v>24</v>
      </c>
      <c r="B35" s="252" t="s">
        <v>53</v>
      </c>
      <c r="C35" s="247">
        <v>31</v>
      </c>
      <c r="D35" s="247"/>
      <c r="E35" s="247"/>
      <c r="F35" s="247"/>
      <c r="G35" s="247"/>
      <c r="H35" s="247"/>
      <c r="I35" s="247">
        <f t="shared" si="3"/>
        <v>31</v>
      </c>
      <c r="J35" s="250">
        <f t="shared" si="4"/>
        <v>2.79</v>
      </c>
      <c r="K35" s="249"/>
      <c r="L35" s="222"/>
      <c r="M35" s="222"/>
      <c r="N35" s="222"/>
      <c r="O35" s="222"/>
      <c r="P35" s="222"/>
      <c r="Q35" s="222"/>
      <c r="R35" s="222"/>
      <c r="S35" s="222"/>
      <c r="T35" s="222"/>
      <c r="U35" s="222"/>
      <c r="V35" s="222"/>
      <c r="W35" s="222"/>
      <c r="X35" s="222"/>
      <c r="Y35" s="222"/>
      <c r="Z35" s="222"/>
      <c r="AA35" s="222"/>
      <c r="AB35" s="222"/>
      <c r="AC35" s="222"/>
    </row>
    <row r="36" spans="1:29" ht="17.25" customHeight="1" x14ac:dyDescent="0.3">
      <c r="A36" s="245">
        <v>25</v>
      </c>
      <c r="B36" s="252" t="s">
        <v>54</v>
      </c>
      <c r="C36" s="247">
        <v>30</v>
      </c>
      <c r="D36" s="247"/>
      <c r="E36" s="247"/>
      <c r="F36" s="247"/>
      <c r="G36" s="247"/>
      <c r="H36" s="247"/>
      <c r="I36" s="247">
        <f t="shared" si="3"/>
        <v>30</v>
      </c>
      <c r="J36" s="250">
        <f t="shared" si="4"/>
        <v>2.6999999999999997</v>
      </c>
      <c r="K36" s="249"/>
      <c r="L36" s="222"/>
      <c r="M36" s="222"/>
      <c r="N36" s="222"/>
      <c r="O36" s="222"/>
      <c r="P36" s="222"/>
      <c r="Q36" s="222"/>
      <c r="R36" s="222"/>
      <c r="S36" s="222"/>
      <c r="T36" s="222"/>
      <c r="U36" s="222"/>
      <c r="V36" s="222"/>
      <c r="W36" s="222"/>
      <c r="X36" s="222"/>
      <c r="Y36" s="222"/>
      <c r="Z36" s="222"/>
      <c r="AA36" s="222"/>
      <c r="AB36" s="222"/>
      <c r="AC36" s="222"/>
    </row>
    <row r="37" spans="1:29" ht="17.25" customHeight="1" x14ac:dyDescent="0.3">
      <c r="A37" s="245">
        <v>26</v>
      </c>
      <c r="B37" s="252" t="s">
        <v>55</v>
      </c>
      <c r="C37" s="247">
        <v>31</v>
      </c>
      <c r="D37" s="247"/>
      <c r="E37" s="247"/>
      <c r="F37" s="247"/>
      <c r="G37" s="247"/>
      <c r="H37" s="247"/>
      <c r="I37" s="247">
        <f t="shared" si="3"/>
        <v>31</v>
      </c>
      <c r="J37" s="250">
        <f t="shared" si="4"/>
        <v>2.79</v>
      </c>
      <c r="K37" s="249"/>
      <c r="L37" s="222"/>
      <c r="M37" s="222"/>
      <c r="N37" s="222"/>
      <c r="O37" s="222"/>
      <c r="P37" s="222"/>
      <c r="Q37" s="222"/>
      <c r="R37" s="222"/>
      <c r="S37" s="222"/>
      <c r="T37" s="222"/>
      <c r="U37" s="222"/>
      <c r="V37" s="222"/>
      <c r="W37" s="222"/>
      <c r="X37" s="222"/>
      <c r="Y37" s="222"/>
      <c r="Z37" s="222"/>
      <c r="AA37" s="222"/>
      <c r="AB37" s="222"/>
      <c r="AC37" s="222"/>
    </row>
    <row r="38" spans="1:29" ht="17.25" customHeight="1" x14ac:dyDescent="0.3">
      <c r="A38" s="245">
        <v>27</v>
      </c>
      <c r="B38" s="252" t="s">
        <v>56</v>
      </c>
      <c r="C38" s="247">
        <v>30</v>
      </c>
      <c r="D38" s="247"/>
      <c r="E38" s="247"/>
      <c r="F38" s="247"/>
      <c r="G38" s="247"/>
      <c r="H38" s="247"/>
      <c r="I38" s="247">
        <f t="shared" si="3"/>
        <v>30</v>
      </c>
      <c r="J38" s="250">
        <f t="shared" si="4"/>
        <v>2.6999999999999997</v>
      </c>
      <c r="K38" s="249"/>
      <c r="L38" s="222"/>
      <c r="M38" s="222"/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222"/>
      <c r="AA38" s="222"/>
      <c r="AB38" s="222"/>
      <c r="AC38" s="222"/>
    </row>
    <row r="39" spans="1:29" ht="17.25" customHeight="1" x14ac:dyDescent="0.3">
      <c r="A39" s="245">
        <v>28</v>
      </c>
      <c r="B39" s="252" t="s">
        <v>57</v>
      </c>
      <c r="C39" s="247">
        <v>1</v>
      </c>
      <c r="D39" s="247"/>
      <c r="E39" s="247"/>
      <c r="F39" s="247"/>
      <c r="G39" s="247"/>
      <c r="H39" s="247"/>
      <c r="I39" s="247">
        <f t="shared" si="3"/>
        <v>1</v>
      </c>
      <c r="J39" s="250">
        <f t="shared" si="4"/>
        <v>0.09</v>
      </c>
      <c r="K39" s="249"/>
      <c r="L39" s="222"/>
      <c r="M39" s="222"/>
      <c r="N39" s="222"/>
      <c r="O39" s="222"/>
      <c r="P39" s="222"/>
      <c r="Q39" s="222"/>
      <c r="R39" s="222"/>
      <c r="S39" s="222"/>
      <c r="T39" s="222"/>
      <c r="U39" s="222"/>
      <c r="V39" s="222"/>
      <c r="W39" s="222"/>
      <c r="X39" s="222"/>
      <c r="Y39" s="222"/>
      <c r="Z39" s="222"/>
      <c r="AA39" s="222"/>
      <c r="AB39" s="222"/>
      <c r="AC39" s="222"/>
    </row>
    <row r="40" spans="1:29" ht="16.5" x14ac:dyDescent="0.3">
      <c r="A40" s="253" t="s">
        <v>58</v>
      </c>
      <c r="B40" s="254"/>
      <c r="C40" s="255">
        <f t="shared" ref="C40:I40" si="5">SUM(C8:C39)</f>
        <v>823</v>
      </c>
      <c r="D40" s="255">
        <f t="shared" si="5"/>
        <v>59</v>
      </c>
      <c r="E40" s="255">
        <f t="shared" si="5"/>
        <v>1</v>
      </c>
      <c r="F40" s="255">
        <f t="shared" si="5"/>
        <v>0</v>
      </c>
      <c r="G40" s="255">
        <f t="shared" si="5"/>
        <v>0</v>
      </c>
      <c r="H40" s="255">
        <f t="shared" si="5"/>
        <v>0</v>
      </c>
      <c r="I40" s="255">
        <f t="shared" si="5"/>
        <v>763</v>
      </c>
      <c r="J40" s="255">
        <f>SUM(J8:J39)</f>
        <v>90.720000000000041</v>
      </c>
      <c r="K40" s="222"/>
      <c r="L40" s="222"/>
      <c r="M40" s="222"/>
      <c r="N40" s="222"/>
      <c r="O40" s="222"/>
      <c r="P40" s="222"/>
      <c r="Q40" s="222"/>
      <c r="R40" s="222"/>
      <c r="S40" s="222"/>
      <c r="T40" s="222"/>
      <c r="U40" s="222"/>
      <c r="V40" s="222"/>
      <c r="W40" s="222"/>
      <c r="X40" s="222"/>
      <c r="Y40" s="222"/>
      <c r="Z40" s="222"/>
      <c r="AA40" s="222"/>
      <c r="AB40" s="222"/>
      <c r="AC40" s="222"/>
    </row>
    <row r="41" spans="1:29" ht="17.25" thickBot="1" x14ac:dyDescent="0.35">
      <c r="A41" s="256"/>
      <c r="B41" s="257"/>
      <c r="C41" s="257"/>
      <c r="D41" s="258"/>
      <c r="E41" s="257"/>
      <c r="F41" s="257"/>
      <c r="G41" s="257"/>
      <c r="H41" s="257"/>
      <c r="I41" s="257"/>
      <c r="J41" s="259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222"/>
      <c r="AA41" s="222"/>
      <c r="AB41" s="222"/>
      <c r="AC41" s="222"/>
    </row>
    <row r="42" spans="1:29" ht="15" thickBot="1" x14ac:dyDescent="0.25">
      <c r="A42" s="320" t="s">
        <v>59</v>
      </c>
      <c r="B42" s="321"/>
      <c r="C42" s="321"/>
      <c r="D42" s="321"/>
      <c r="E42" s="321"/>
      <c r="F42" s="321"/>
      <c r="G42" s="321"/>
      <c r="H42" s="321"/>
      <c r="I42" s="321"/>
      <c r="J42" s="322"/>
      <c r="K42" s="222"/>
      <c r="L42" s="222"/>
      <c r="M42" s="222"/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  <c r="Z42" s="222"/>
      <c r="AA42" s="222"/>
      <c r="AB42" s="222"/>
      <c r="AC42" s="222"/>
    </row>
    <row r="43" spans="1:29" ht="16.5" x14ac:dyDescent="0.3">
      <c r="A43" s="260">
        <v>1</v>
      </c>
      <c r="B43" s="261" t="s">
        <v>60</v>
      </c>
      <c r="C43" s="261"/>
      <c r="D43" s="262"/>
      <c r="E43" s="261"/>
      <c r="F43" s="261"/>
      <c r="G43" s="261"/>
      <c r="H43" s="263"/>
      <c r="I43" s="264"/>
      <c r="J43" s="265">
        <f>+D40</f>
        <v>59</v>
      </c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  <c r="Z43" s="222"/>
      <c r="AA43" s="222"/>
      <c r="AB43" s="222"/>
      <c r="AC43" s="222"/>
    </row>
    <row r="44" spans="1:29" ht="16.5" x14ac:dyDescent="0.3">
      <c r="A44" s="260">
        <v>2</v>
      </c>
      <c r="B44" s="261" t="s">
        <v>61</v>
      </c>
      <c r="C44" s="261"/>
      <c r="D44" s="262"/>
      <c r="E44" s="261"/>
      <c r="F44" s="261"/>
      <c r="G44" s="261"/>
      <c r="H44" s="263"/>
      <c r="I44" s="266"/>
      <c r="J44" s="267"/>
      <c r="K44" s="222"/>
      <c r="L44" s="222"/>
      <c r="M44" s="222"/>
      <c r="N44" s="222"/>
      <c r="O44" s="222"/>
      <c r="P44" s="222"/>
      <c r="Q44" s="222"/>
      <c r="R44" s="222"/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</row>
    <row r="45" spans="1:29" ht="16.5" x14ac:dyDescent="0.3">
      <c r="A45" s="268"/>
      <c r="B45" s="261"/>
      <c r="C45" s="261"/>
      <c r="D45" s="262"/>
      <c r="E45" s="261"/>
      <c r="F45" s="261"/>
      <c r="G45" s="261"/>
      <c r="H45" s="263"/>
      <c r="I45" s="264"/>
      <c r="J45" s="265">
        <f>+D41</f>
        <v>0</v>
      </c>
      <c r="K45" s="222"/>
      <c r="L45" s="222"/>
      <c r="M45" s="222"/>
      <c r="N45" s="222"/>
      <c r="O45" s="222"/>
      <c r="P45" s="222"/>
      <c r="Q45" s="222"/>
      <c r="R45" s="222"/>
      <c r="S45" s="222"/>
      <c r="T45" s="222"/>
      <c r="U45" s="222"/>
      <c r="V45" s="222"/>
      <c r="W45" s="222"/>
      <c r="X45" s="222"/>
      <c r="Y45" s="222"/>
      <c r="Z45" s="222"/>
      <c r="AA45" s="222"/>
      <c r="AB45" s="222"/>
      <c r="AC45" s="222"/>
    </row>
    <row r="46" spans="1:29" ht="17.25" thickBot="1" x14ac:dyDescent="0.35">
      <c r="A46" s="268" t="s">
        <v>62</v>
      </c>
      <c r="B46" s="261"/>
      <c r="C46" s="261"/>
      <c r="D46" s="262"/>
      <c r="E46" s="261"/>
      <c r="F46" s="261"/>
      <c r="G46" s="261"/>
      <c r="H46" s="263"/>
      <c r="I46" s="264"/>
      <c r="J46" s="269">
        <f>J40-J43</f>
        <v>31.720000000000041</v>
      </c>
      <c r="K46" s="249"/>
      <c r="L46" s="222"/>
      <c r="M46" s="222"/>
      <c r="N46" s="222"/>
      <c r="O46" s="222"/>
      <c r="P46" s="222"/>
      <c r="Q46" s="222"/>
      <c r="R46" s="222"/>
      <c r="S46" s="222"/>
      <c r="T46" s="222"/>
      <c r="U46" s="222"/>
      <c r="V46" s="222"/>
      <c r="W46" s="222"/>
      <c r="X46" s="222"/>
      <c r="Y46" s="222"/>
      <c r="Z46" s="222"/>
      <c r="AA46" s="222"/>
      <c r="AB46" s="222"/>
      <c r="AC46" s="222"/>
    </row>
    <row r="47" spans="1:29" ht="17.25" thickBot="1" x14ac:dyDescent="0.35">
      <c r="A47" s="270"/>
      <c r="B47" s="271"/>
      <c r="C47" s="271"/>
      <c r="D47" s="272"/>
      <c r="E47" s="271"/>
      <c r="F47" s="271"/>
      <c r="G47" s="271"/>
      <c r="H47" s="273"/>
      <c r="I47" s="274"/>
      <c r="J47" s="275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22"/>
      <c r="X47" s="222"/>
      <c r="Y47" s="222"/>
      <c r="Z47" s="222"/>
      <c r="AA47" s="222"/>
      <c r="AB47" s="222"/>
      <c r="AC47" s="222"/>
    </row>
    <row r="48" spans="1:29" ht="16.5" x14ac:dyDescent="0.3">
      <c r="A48" s="98" t="s">
        <v>63</v>
      </c>
      <c r="B48" s="99"/>
      <c r="C48" s="99"/>
      <c r="D48" s="116"/>
      <c r="E48" s="85"/>
      <c r="F48" s="85"/>
      <c r="G48" s="85"/>
      <c r="H48" s="85"/>
      <c r="I48" s="100"/>
      <c r="J48" s="101"/>
    </row>
    <row r="49" spans="1:10" ht="16.5" x14ac:dyDescent="0.3">
      <c r="A49" s="102">
        <v>1</v>
      </c>
      <c r="B49" s="85" t="s">
        <v>64</v>
      </c>
      <c r="C49" s="85"/>
      <c r="D49" s="117">
        <f>+E40</f>
        <v>1</v>
      </c>
      <c r="E49" s="85"/>
      <c r="F49" s="85"/>
      <c r="G49" s="85"/>
      <c r="H49" s="85"/>
      <c r="I49" s="100"/>
      <c r="J49" s="101"/>
    </row>
    <row r="50" spans="1:10" ht="16.5" x14ac:dyDescent="0.3">
      <c r="A50" s="103">
        <v>2</v>
      </c>
      <c r="B50" s="85" t="s">
        <v>65</v>
      </c>
      <c r="C50" s="85"/>
      <c r="D50" s="118">
        <f>+F40</f>
        <v>0</v>
      </c>
      <c r="E50" s="85"/>
      <c r="F50" s="85"/>
      <c r="G50" s="85"/>
      <c r="H50" s="85"/>
      <c r="I50" s="100"/>
      <c r="J50" s="101"/>
    </row>
    <row r="51" spans="1:10" ht="16.5" x14ac:dyDescent="0.3">
      <c r="A51" s="103">
        <v>3</v>
      </c>
      <c r="B51" s="85" t="s">
        <v>66</v>
      </c>
      <c r="C51" s="85"/>
      <c r="D51" s="118">
        <f>+G40</f>
        <v>0</v>
      </c>
      <c r="E51" s="85"/>
      <c r="F51" s="85"/>
      <c r="G51" s="85"/>
      <c r="H51" s="85"/>
      <c r="I51" s="100"/>
      <c r="J51" s="101"/>
    </row>
    <row r="52" spans="1:10" ht="16.5" x14ac:dyDescent="0.3">
      <c r="A52" s="103">
        <v>4</v>
      </c>
      <c r="B52" s="85" t="s">
        <v>42</v>
      </c>
      <c r="C52" s="85"/>
      <c r="D52" s="118">
        <f>+H40</f>
        <v>0</v>
      </c>
      <c r="E52" s="85"/>
      <c r="F52" s="85"/>
      <c r="G52" s="85"/>
      <c r="H52" s="85"/>
      <c r="I52" s="100"/>
      <c r="J52" s="101"/>
    </row>
    <row r="53" spans="1:10" ht="17.25" thickBot="1" x14ac:dyDescent="0.35">
      <c r="A53" s="104" t="s">
        <v>67</v>
      </c>
      <c r="B53" s="105"/>
      <c r="C53" s="106"/>
      <c r="D53" s="119">
        <f>+D49+D50+D51+D52</f>
        <v>1</v>
      </c>
      <c r="E53" s="85"/>
      <c r="F53" s="85"/>
      <c r="G53" s="85"/>
      <c r="H53" s="85"/>
      <c r="I53" s="100"/>
      <c r="J53" s="101"/>
    </row>
    <row r="54" spans="1:10" ht="17.25" thickTop="1" x14ac:dyDescent="0.3">
      <c r="A54" s="89"/>
      <c r="B54" s="99"/>
      <c r="C54" s="99"/>
      <c r="D54" s="120"/>
      <c r="E54" s="85"/>
      <c r="F54" s="85"/>
      <c r="G54" s="85"/>
      <c r="H54" s="85"/>
      <c r="I54" s="100"/>
      <c r="J54" s="101"/>
    </row>
    <row r="55" spans="1:10" ht="16.5" x14ac:dyDescent="0.3">
      <c r="A55" s="107"/>
      <c r="B55" s="108"/>
      <c r="C55" s="108"/>
      <c r="D55" s="121"/>
      <c r="E55" s="108"/>
      <c r="F55" s="108"/>
      <c r="G55" s="108"/>
      <c r="H55" s="108"/>
      <c r="I55" s="108"/>
      <c r="J55" s="109"/>
    </row>
    <row r="56" spans="1:10" ht="16.5" x14ac:dyDescent="0.3">
      <c r="A56" s="59"/>
      <c r="B56" s="59"/>
      <c r="C56" s="59"/>
      <c r="D56" s="112"/>
      <c r="E56" s="59"/>
      <c r="F56" s="59"/>
      <c r="G56" s="59"/>
      <c r="H56" s="59"/>
      <c r="I56" s="59"/>
      <c r="J56" s="64"/>
    </row>
    <row r="57" spans="1:10" ht="16.5" x14ac:dyDescent="0.3">
      <c r="A57" s="59"/>
      <c r="B57" s="59"/>
      <c r="C57" s="59"/>
      <c r="D57" s="112"/>
      <c r="E57" s="59"/>
      <c r="F57" s="59"/>
      <c r="G57" s="59"/>
      <c r="H57" s="59"/>
      <c r="I57" s="59"/>
      <c r="J57" s="64"/>
    </row>
    <row r="58" spans="1:10" ht="16.5" x14ac:dyDescent="0.3">
      <c r="A58" s="59" t="s">
        <v>68</v>
      </c>
      <c r="B58" s="59"/>
      <c r="C58" s="59"/>
      <c r="D58" s="112"/>
      <c r="E58" s="59" t="s">
        <v>69</v>
      </c>
      <c r="F58" s="59"/>
      <c r="G58" s="59"/>
      <c r="H58" s="59"/>
      <c r="I58" s="59"/>
      <c r="J58" s="64"/>
    </row>
    <row r="59" spans="1:10" ht="16.5" x14ac:dyDescent="0.3">
      <c r="A59" s="59" t="s">
        <v>70</v>
      </c>
      <c r="B59" s="59"/>
      <c r="C59" s="59"/>
      <c r="D59" s="112"/>
      <c r="E59" s="59" t="s">
        <v>71</v>
      </c>
      <c r="F59" s="59"/>
      <c r="G59" s="59"/>
      <c r="H59" s="59"/>
      <c r="I59" s="59"/>
      <c r="J59" s="64"/>
    </row>
  </sheetData>
  <mergeCells count="3">
    <mergeCell ref="J6:J7"/>
    <mergeCell ref="A42:J42"/>
    <mergeCell ref="A8:C8"/>
  </mergeCells>
  <pageMargins left="0.7" right="0" top="0.75" bottom="0.75" header="0.3" footer="0.3"/>
  <pageSetup paperSize="9" scale="74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  <pageSetUpPr fitToPage="1"/>
  </sheetPr>
  <dimension ref="A1:K42"/>
  <sheetViews>
    <sheetView workbookViewId="0">
      <selection activeCell="M11" sqref="M11"/>
    </sheetView>
  </sheetViews>
  <sheetFormatPr defaultRowHeight="12.75" x14ac:dyDescent="0.2"/>
  <cols>
    <col min="1" max="1" width="4.85546875" customWidth="1"/>
    <col min="2" max="2" width="17.85546875" customWidth="1"/>
    <col min="3" max="3" width="11.7109375" customWidth="1"/>
    <col min="4" max="4" width="9.28515625" style="122" bestFit="1" customWidth="1"/>
    <col min="5" max="5" width="9.28515625" bestFit="1" customWidth="1"/>
    <col min="6" max="6" width="10.28515625" bestFit="1" customWidth="1"/>
    <col min="7" max="8" width="9.28515625" bestFit="1" customWidth="1"/>
    <col min="9" max="9" width="9.42578125" bestFit="1" customWidth="1"/>
    <col min="10" max="10" width="9.7109375" customWidth="1"/>
  </cols>
  <sheetData>
    <row r="1" spans="1:11" ht="17.25" thickBot="1" x14ac:dyDescent="0.35">
      <c r="A1" s="59"/>
      <c r="B1" s="59"/>
      <c r="C1" s="60" t="s">
        <v>29</v>
      </c>
      <c r="D1" s="112"/>
      <c r="E1" s="59"/>
      <c r="F1" s="61" t="s">
        <v>144</v>
      </c>
      <c r="G1" s="62"/>
      <c r="H1" s="63"/>
      <c r="I1" s="59"/>
      <c r="J1" s="64"/>
    </row>
    <row r="2" spans="1:11" ht="16.5" x14ac:dyDescent="0.3">
      <c r="A2" s="59" t="s">
        <v>30</v>
      </c>
      <c r="B2" s="59"/>
      <c r="C2" s="65" t="s">
        <v>31</v>
      </c>
      <c r="D2" s="112"/>
      <c r="E2" s="65"/>
      <c r="F2" s="59"/>
      <c r="G2" s="59"/>
      <c r="H2" s="59"/>
      <c r="I2" s="59"/>
      <c r="J2" s="64"/>
    </row>
    <row r="3" spans="1:11" ht="16.5" x14ac:dyDescent="0.3">
      <c r="A3" s="59" t="s">
        <v>32</v>
      </c>
      <c r="B3" s="59"/>
      <c r="C3" s="65">
        <v>13</v>
      </c>
      <c r="D3" s="112"/>
      <c r="E3" s="59"/>
      <c r="F3" s="59"/>
      <c r="G3" s="59"/>
      <c r="H3" s="59"/>
      <c r="I3" s="59"/>
      <c r="J3" s="64"/>
    </row>
    <row r="4" spans="1:11" ht="16.5" x14ac:dyDescent="0.3">
      <c r="A4" s="59" t="s">
        <v>33</v>
      </c>
      <c r="B4" s="59"/>
      <c r="C4" s="66">
        <v>39197</v>
      </c>
      <c r="D4" s="112"/>
      <c r="E4" s="59"/>
      <c r="F4" s="59"/>
      <c r="G4" s="59"/>
      <c r="H4" s="59"/>
      <c r="I4" s="59"/>
      <c r="J4" s="64"/>
    </row>
    <row r="5" spans="1:11" ht="16.5" x14ac:dyDescent="0.3">
      <c r="A5" s="59" t="s">
        <v>34</v>
      </c>
      <c r="B5" s="59"/>
      <c r="C5" s="66" t="s">
        <v>129</v>
      </c>
      <c r="D5" s="112"/>
      <c r="E5" s="59"/>
      <c r="F5" s="59"/>
      <c r="G5" s="59"/>
      <c r="H5" s="59"/>
      <c r="I5" s="59"/>
      <c r="J5" s="64"/>
    </row>
    <row r="6" spans="1:11" ht="28.9" customHeight="1" x14ac:dyDescent="0.25">
      <c r="A6" s="67" t="s">
        <v>35</v>
      </c>
      <c r="B6" s="67" t="s">
        <v>36</v>
      </c>
      <c r="C6" s="68" t="s">
        <v>37</v>
      </c>
      <c r="D6" s="68" t="s">
        <v>38</v>
      </c>
      <c r="E6" s="69" t="s">
        <v>39</v>
      </c>
      <c r="F6" s="68" t="s">
        <v>40</v>
      </c>
      <c r="G6" s="69" t="s">
        <v>41</v>
      </c>
      <c r="H6" s="68" t="s">
        <v>42</v>
      </c>
      <c r="I6" s="69" t="s">
        <v>43</v>
      </c>
      <c r="J6" s="328" t="s">
        <v>44</v>
      </c>
    </row>
    <row r="7" spans="1:11" ht="15" x14ac:dyDescent="0.25">
      <c r="A7" s="70" t="s">
        <v>45</v>
      </c>
      <c r="B7" s="70"/>
      <c r="C7" s="71" t="s">
        <v>36</v>
      </c>
      <c r="D7" s="71"/>
      <c r="E7" s="72"/>
      <c r="F7" s="71"/>
      <c r="G7" s="72"/>
      <c r="H7" s="71"/>
      <c r="I7" s="72" t="s">
        <v>46</v>
      </c>
      <c r="J7" s="328"/>
    </row>
    <row r="8" spans="1:11" ht="17.25" thickBot="1" x14ac:dyDescent="0.35">
      <c r="A8" s="329" t="s">
        <v>143</v>
      </c>
      <c r="B8" s="330"/>
      <c r="C8" s="331"/>
      <c r="D8" s="75"/>
      <c r="E8" s="73"/>
      <c r="F8" s="73"/>
      <c r="G8" s="73"/>
      <c r="H8" s="73"/>
      <c r="I8" s="73"/>
      <c r="J8" s="175">
        <v>22.2</v>
      </c>
    </row>
    <row r="9" spans="1:11" ht="17.25" thickBot="1" x14ac:dyDescent="0.35">
      <c r="A9" s="163"/>
      <c r="B9" s="170">
        <v>2015</v>
      </c>
      <c r="C9" s="164"/>
      <c r="D9" s="75"/>
      <c r="E9" s="75"/>
      <c r="F9" s="75"/>
      <c r="G9" s="75"/>
      <c r="H9" s="75"/>
      <c r="I9" s="75"/>
      <c r="J9" s="77"/>
    </row>
    <row r="10" spans="1:11" ht="16.5" x14ac:dyDescent="0.3">
      <c r="A10" s="75">
        <v>13</v>
      </c>
      <c r="B10" s="76" t="s">
        <v>54</v>
      </c>
      <c r="C10" s="75">
        <v>30</v>
      </c>
      <c r="D10" s="75"/>
      <c r="E10" s="75"/>
      <c r="F10" s="75"/>
      <c r="G10" s="75"/>
      <c r="H10" s="75"/>
      <c r="I10" s="75">
        <f t="shared" ref="I10:I22" si="0">C10-D10-E10-F10</f>
        <v>30</v>
      </c>
      <c r="J10" s="77">
        <f t="shared" ref="J10:J22" si="1">+I10*0.09</f>
        <v>2.6999999999999997</v>
      </c>
      <c r="K10" s="111"/>
    </row>
    <row r="11" spans="1:11" ht="16.5" x14ac:dyDescent="0.3">
      <c r="A11" s="75">
        <v>14</v>
      </c>
      <c r="B11" s="76" t="s">
        <v>55</v>
      </c>
      <c r="C11" s="75">
        <v>31</v>
      </c>
      <c r="D11" s="75"/>
      <c r="E11" s="75"/>
      <c r="F11" s="75"/>
      <c r="G11" s="75"/>
      <c r="H11" s="75"/>
      <c r="I11" s="75">
        <f t="shared" si="0"/>
        <v>31</v>
      </c>
      <c r="J11" s="77">
        <f t="shared" si="1"/>
        <v>2.79</v>
      </c>
      <c r="K11" s="111"/>
    </row>
    <row r="12" spans="1:11" ht="16.5" x14ac:dyDescent="0.3">
      <c r="A12" s="75">
        <v>15</v>
      </c>
      <c r="B12" s="76" t="s">
        <v>56</v>
      </c>
      <c r="C12" s="75">
        <v>30</v>
      </c>
      <c r="D12" s="75"/>
      <c r="E12" s="75"/>
      <c r="F12" s="75"/>
      <c r="G12" s="75"/>
      <c r="H12" s="75"/>
      <c r="I12" s="75">
        <f t="shared" si="0"/>
        <v>30</v>
      </c>
      <c r="J12" s="77">
        <f t="shared" si="1"/>
        <v>2.6999999999999997</v>
      </c>
      <c r="K12" s="111"/>
    </row>
    <row r="13" spans="1:11" ht="17.25" customHeight="1" x14ac:dyDescent="0.3">
      <c r="A13" s="75">
        <v>16</v>
      </c>
      <c r="B13" s="76" t="s">
        <v>57</v>
      </c>
      <c r="C13" s="75">
        <v>31</v>
      </c>
      <c r="D13" s="75">
        <v>6</v>
      </c>
      <c r="E13" s="75"/>
      <c r="F13" s="75"/>
      <c r="G13" s="75"/>
      <c r="H13" s="75"/>
      <c r="I13" s="75">
        <f t="shared" si="0"/>
        <v>25</v>
      </c>
      <c r="J13" s="77">
        <f t="shared" si="1"/>
        <v>2.25</v>
      </c>
      <c r="K13" s="111"/>
    </row>
    <row r="14" spans="1:11" ht="17.25" customHeight="1" x14ac:dyDescent="0.3">
      <c r="A14" s="75">
        <v>17</v>
      </c>
      <c r="B14" s="76" t="s">
        <v>73</v>
      </c>
      <c r="C14" s="164">
        <v>31</v>
      </c>
      <c r="D14" s="164">
        <v>23</v>
      </c>
      <c r="E14" s="164"/>
      <c r="F14" s="164"/>
      <c r="G14" s="164"/>
      <c r="H14" s="164"/>
      <c r="I14" s="164">
        <f t="shared" si="0"/>
        <v>8</v>
      </c>
      <c r="J14" s="165">
        <f t="shared" si="1"/>
        <v>0.72</v>
      </c>
      <c r="K14" s="111"/>
    </row>
    <row r="15" spans="1:11" ht="17.25" customHeight="1" x14ac:dyDescent="0.3">
      <c r="A15" s="75">
        <v>18</v>
      </c>
      <c r="B15" s="76" t="s">
        <v>47</v>
      </c>
      <c r="C15" s="164">
        <v>30</v>
      </c>
      <c r="D15" s="164"/>
      <c r="E15" s="164"/>
      <c r="F15" s="164"/>
      <c r="G15" s="164"/>
      <c r="H15" s="164"/>
      <c r="I15" s="164">
        <f t="shared" si="0"/>
        <v>30</v>
      </c>
      <c r="J15" s="165">
        <f t="shared" si="1"/>
        <v>2.6999999999999997</v>
      </c>
      <c r="K15" s="111"/>
    </row>
    <row r="16" spans="1:11" ht="17.25" customHeight="1" x14ac:dyDescent="0.3">
      <c r="A16" s="75">
        <v>19</v>
      </c>
      <c r="B16" s="76" t="s">
        <v>48</v>
      </c>
      <c r="C16" s="164">
        <v>31</v>
      </c>
      <c r="D16" s="164"/>
      <c r="E16" s="164"/>
      <c r="F16" s="164"/>
      <c r="G16" s="164"/>
      <c r="H16" s="164"/>
      <c r="I16" s="164">
        <f t="shared" si="0"/>
        <v>31</v>
      </c>
      <c r="J16" s="165">
        <f t="shared" si="1"/>
        <v>2.79</v>
      </c>
      <c r="K16" s="111"/>
    </row>
    <row r="17" spans="1:11" ht="17.25" customHeight="1" x14ac:dyDescent="0.3">
      <c r="A17" s="75">
        <v>20</v>
      </c>
      <c r="B17" s="76" t="s">
        <v>49</v>
      </c>
      <c r="C17" s="164">
        <v>30</v>
      </c>
      <c r="D17" s="164"/>
      <c r="E17" s="164"/>
      <c r="F17" s="164"/>
      <c r="G17" s="164"/>
      <c r="H17" s="164"/>
      <c r="I17" s="164">
        <f t="shared" si="0"/>
        <v>30</v>
      </c>
      <c r="J17" s="165">
        <f t="shared" si="1"/>
        <v>2.6999999999999997</v>
      </c>
      <c r="K17" s="111"/>
    </row>
    <row r="18" spans="1:11" ht="17.25" customHeight="1" thickBot="1" x14ac:dyDescent="0.35">
      <c r="A18" s="75">
        <v>21</v>
      </c>
      <c r="B18" s="167" t="s">
        <v>50</v>
      </c>
      <c r="C18" s="164">
        <v>31</v>
      </c>
      <c r="D18" s="164"/>
      <c r="E18" s="164"/>
      <c r="F18" s="164"/>
      <c r="G18" s="164"/>
      <c r="H18" s="164"/>
      <c r="I18" s="164">
        <f t="shared" si="0"/>
        <v>31</v>
      </c>
      <c r="J18" s="165">
        <f t="shared" si="1"/>
        <v>2.79</v>
      </c>
      <c r="K18" s="111"/>
    </row>
    <row r="19" spans="1:11" ht="17.25" customHeight="1" thickBot="1" x14ac:dyDescent="0.35">
      <c r="A19" s="163"/>
      <c r="B19" s="169">
        <v>2016</v>
      </c>
      <c r="C19" s="164"/>
      <c r="D19" s="164"/>
      <c r="E19" s="164"/>
      <c r="F19" s="164"/>
      <c r="G19" s="164"/>
      <c r="H19" s="164"/>
      <c r="I19" s="164">
        <f t="shared" si="0"/>
        <v>0</v>
      </c>
      <c r="J19" s="165">
        <f t="shared" si="1"/>
        <v>0</v>
      </c>
      <c r="K19" s="111"/>
    </row>
    <row r="20" spans="1:11" ht="17.25" customHeight="1" x14ac:dyDescent="0.3">
      <c r="A20" s="163">
        <v>22</v>
      </c>
      <c r="B20" s="168" t="s">
        <v>51</v>
      </c>
      <c r="C20" s="164">
        <v>31</v>
      </c>
      <c r="D20" s="164"/>
      <c r="E20" s="164"/>
      <c r="F20" s="164"/>
      <c r="G20" s="164"/>
      <c r="H20" s="164"/>
      <c r="I20" s="164">
        <f t="shared" si="0"/>
        <v>31</v>
      </c>
      <c r="J20" s="165">
        <f t="shared" si="1"/>
        <v>2.79</v>
      </c>
      <c r="K20" s="111"/>
    </row>
    <row r="21" spans="1:11" ht="17.25" customHeight="1" x14ac:dyDescent="0.3">
      <c r="A21" s="163">
        <v>23</v>
      </c>
      <c r="B21" s="168" t="s">
        <v>52</v>
      </c>
      <c r="C21" s="164">
        <v>29</v>
      </c>
      <c r="D21" s="164"/>
      <c r="E21" s="164">
        <v>1</v>
      </c>
      <c r="F21" s="164"/>
      <c r="G21" s="164"/>
      <c r="H21" s="164"/>
      <c r="I21" s="164">
        <f t="shared" si="0"/>
        <v>28</v>
      </c>
      <c r="J21" s="165">
        <f t="shared" si="1"/>
        <v>2.52</v>
      </c>
      <c r="K21" s="111"/>
    </row>
    <row r="22" spans="1:11" ht="17.25" customHeight="1" x14ac:dyDescent="0.3">
      <c r="A22" s="163">
        <v>24</v>
      </c>
      <c r="B22" s="168" t="s">
        <v>53</v>
      </c>
      <c r="C22" s="164">
        <v>31</v>
      </c>
      <c r="D22" s="164"/>
      <c r="E22" s="164"/>
      <c r="F22" s="164"/>
      <c r="G22" s="164"/>
      <c r="H22" s="164"/>
      <c r="I22" s="164">
        <f t="shared" si="0"/>
        <v>31</v>
      </c>
      <c r="J22" s="165">
        <f t="shared" si="1"/>
        <v>2.79</v>
      </c>
      <c r="K22" s="111"/>
    </row>
    <row r="23" spans="1:11" ht="16.5" x14ac:dyDescent="0.3">
      <c r="A23" s="78" t="s">
        <v>58</v>
      </c>
      <c r="B23" s="79"/>
      <c r="C23" s="80">
        <f t="shared" ref="C23:J23" si="2">SUM(C8:C22)</f>
        <v>366</v>
      </c>
      <c r="D23" s="80">
        <f t="shared" si="2"/>
        <v>29</v>
      </c>
      <c r="E23" s="80">
        <f t="shared" si="2"/>
        <v>1</v>
      </c>
      <c r="F23" s="80">
        <f t="shared" si="2"/>
        <v>0</v>
      </c>
      <c r="G23" s="80">
        <f t="shared" si="2"/>
        <v>0</v>
      </c>
      <c r="H23" s="80">
        <f t="shared" si="2"/>
        <v>0</v>
      </c>
      <c r="I23" s="80">
        <f t="shared" si="2"/>
        <v>336</v>
      </c>
      <c r="J23" s="80">
        <f t="shared" si="2"/>
        <v>52.440000000000005</v>
      </c>
    </row>
    <row r="24" spans="1:11" ht="17.25" thickBot="1" x14ac:dyDescent="0.35">
      <c r="A24" s="81"/>
      <c r="B24" s="82"/>
      <c r="C24" s="82"/>
      <c r="D24" s="113"/>
      <c r="E24" s="82"/>
      <c r="F24" s="82"/>
      <c r="G24" s="82"/>
      <c r="H24" s="82"/>
      <c r="I24" s="82"/>
      <c r="J24" s="83"/>
    </row>
    <row r="25" spans="1:11" ht="15" thickBot="1" x14ac:dyDescent="0.25">
      <c r="A25" s="332" t="s">
        <v>59</v>
      </c>
      <c r="B25" s="333"/>
      <c r="C25" s="333"/>
      <c r="D25" s="333"/>
      <c r="E25" s="333"/>
      <c r="F25" s="333"/>
      <c r="G25" s="333"/>
      <c r="H25" s="333"/>
      <c r="I25" s="333"/>
      <c r="J25" s="334"/>
    </row>
    <row r="26" spans="1:11" ht="16.5" x14ac:dyDescent="0.3">
      <c r="A26" s="84">
        <v>1</v>
      </c>
      <c r="B26" s="85" t="s">
        <v>60</v>
      </c>
      <c r="C26" s="85"/>
      <c r="D26" s="114"/>
      <c r="E26" s="85"/>
      <c r="F26" s="85"/>
      <c r="G26" s="85"/>
      <c r="H26" s="86"/>
      <c r="I26" s="87"/>
      <c r="J26" s="88">
        <f>+D23</f>
        <v>29</v>
      </c>
    </row>
    <row r="27" spans="1:11" ht="16.5" x14ac:dyDescent="0.3">
      <c r="A27" s="84">
        <v>2</v>
      </c>
      <c r="B27" s="85" t="s">
        <v>61</v>
      </c>
      <c r="C27" s="85"/>
      <c r="D27" s="114"/>
      <c r="E27" s="85"/>
      <c r="F27" s="85"/>
      <c r="G27" s="85"/>
      <c r="H27" s="86"/>
      <c r="I27" s="89"/>
      <c r="J27" s="90"/>
    </row>
    <row r="28" spans="1:11" ht="16.5" x14ac:dyDescent="0.3">
      <c r="A28" s="91"/>
      <c r="B28" s="85"/>
      <c r="C28" s="85"/>
      <c r="D28" s="114"/>
      <c r="E28" s="85"/>
      <c r="F28" s="85"/>
      <c r="G28" s="85"/>
      <c r="H28" s="86"/>
      <c r="I28" s="87"/>
      <c r="J28" s="88">
        <f>+D24</f>
        <v>0</v>
      </c>
    </row>
    <row r="29" spans="1:11" ht="17.25" thickBot="1" x14ac:dyDescent="0.35">
      <c r="A29" s="91" t="s">
        <v>62</v>
      </c>
      <c r="B29" s="85"/>
      <c r="C29" s="85"/>
      <c r="D29" s="114"/>
      <c r="E29" s="85"/>
      <c r="F29" s="85"/>
      <c r="G29" s="85"/>
      <c r="H29" s="86"/>
      <c r="I29" s="87"/>
      <c r="J29" s="92">
        <f>J23-J26</f>
        <v>23.440000000000005</v>
      </c>
      <c r="K29" s="111"/>
    </row>
    <row r="30" spans="1:11" ht="17.25" thickBot="1" x14ac:dyDescent="0.35">
      <c r="A30" s="93"/>
      <c r="B30" s="94"/>
      <c r="C30" s="94"/>
      <c r="D30" s="115"/>
      <c r="E30" s="94"/>
      <c r="F30" s="94"/>
      <c r="G30" s="94"/>
      <c r="H30" s="95"/>
      <c r="I30" s="96"/>
      <c r="J30" s="97"/>
    </row>
    <row r="31" spans="1:11" ht="16.5" x14ac:dyDescent="0.3">
      <c r="A31" s="98" t="s">
        <v>63</v>
      </c>
      <c r="B31" s="99"/>
      <c r="C31" s="99"/>
      <c r="D31" s="116"/>
      <c r="E31" s="85"/>
      <c r="F31" s="85"/>
      <c r="G31" s="85"/>
      <c r="H31" s="85"/>
      <c r="I31" s="100"/>
      <c r="J31" s="101"/>
    </row>
    <row r="32" spans="1:11" ht="16.5" x14ac:dyDescent="0.3">
      <c r="A32" s="102">
        <v>1</v>
      </c>
      <c r="B32" s="85" t="s">
        <v>64</v>
      </c>
      <c r="C32" s="85"/>
      <c r="D32" s="117">
        <f>+E23</f>
        <v>1</v>
      </c>
      <c r="E32" s="85"/>
      <c r="F32" s="85"/>
      <c r="G32" s="85"/>
      <c r="H32" s="85"/>
      <c r="I32" s="100"/>
      <c r="J32" s="101"/>
    </row>
    <row r="33" spans="1:10" ht="16.5" x14ac:dyDescent="0.3">
      <c r="A33" s="103">
        <v>2</v>
      </c>
      <c r="B33" s="85" t="s">
        <v>65</v>
      </c>
      <c r="C33" s="85"/>
      <c r="D33" s="118">
        <f>+F23</f>
        <v>0</v>
      </c>
      <c r="E33" s="85"/>
      <c r="F33" s="85"/>
      <c r="G33" s="85"/>
      <c r="H33" s="85"/>
      <c r="I33" s="100"/>
      <c r="J33" s="101"/>
    </row>
    <row r="34" spans="1:10" ht="16.5" x14ac:dyDescent="0.3">
      <c r="A34" s="103">
        <v>3</v>
      </c>
      <c r="B34" s="85" t="s">
        <v>66</v>
      </c>
      <c r="C34" s="85"/>
      <c r="D34" s="118">
        <f>+G23</f>
        <v>0</v>
      </c>
      <c r="E34" s="85"/>
      <c r="F34" s="85"/>
      <c r="G34" s="85"/>
      <c r="H34" s="85"/>
      <c r="I34" s="100"/>
      <c r="J34" s="101"/>
    </row>
    <row r="35" spans="1:10" ht="16.5" x14ac:dyDescent="0.3">
      <c r="A35" s="103">
        <v>4</v>
      </c>
      <c r="B35" s="85" t="s">
        <v>42</v>
      </c>
      <c r="C35" s="85"/>
      <c r="D35" s="118">
        <f>+H23</f>
        <v>0</v>
      </c>
      <c r="E35" s="85"/>
      <c r="F35" s="85"/>
      <c r="G35" s="85"/>
      <c r="H35" s="85"/>
      <c r="I35" s="100"/>
      <c r="J35" s="101"/>
    </row>
    <row r="36" spans="1:10" ht="17.25" thickBot="1" x14ac:dyDescent="0.35">
      <c r="A36" s="104" t="s">
        <v>67</v>
      </c>
      <c r="B36" s="105"/>
      <c r="C36" s="106"/>
      <c r="D36" s="119">
        <f>+D32+D33+D34+D35</f>
        <v>1</v>
      </c>
      <c r="E36" s="85"/>
      <c r="F36" s="85"/>
      <c r="G36" s="85"/>
      <c r="H36" s="85"/>
      <c r="I36" s="100"/>
      <c r="J36" s="101"/>
    </row>
    <row r="37" spans="1:10" ht="17.25" thickTop="1" x14ac:dyDescent="0.3">
      <c r="A37" s="89"/>
      <c r="B37" s="99"/>
      <c r="C37" s="99"/>
      <c r="D37" s="120"/>
      <c r="E37" s="85"/>
      <c r="F37" s="85"/>
      <c r="G37" s="85"/>
      <c r="H37" s="85"/>
      <c r="I37" s="100"/>
      <c r="J37" s="101"/>
    </row>
    <row r="38" spans="1:10" ht="16.5" x14ac:dyDescent="0.3">
      <c r="A38" s="107"/>
      <c r="B38" s="108"/>
      <c r="C38" s="108"/>
      <c r="D38" s="121"/>
      <c r="E38" s="108"/>
      <c r="F38" s="108"/>
      <c r="G38" s="108"/>
      <c r="H38" s="108"/>
      <c r="I38" s="108"/>
      <c r="J38" s="109"/>
    </row>
    <row r="39" spans="1:10" ht="16.5" x14ac:dyDescent="0.3">
      <c r="A39" s="59"/>
      <c r="B39" s="59"/>
      <c r="C39" s="59"/>
      <c r="D39" s="112"/>
      <c r="E39" s="59"/>
      <c r="F39" s="59"/>
      <c r="G39" s="59"/>
      <c r="H39" s="59"/>
      <c r="I39" s="59"/>
      <c r="J39" s="64"/>
    </row>
    <row r="40" spans="1:10" ht="16.5" x14ac:dyDescent="0.3">
      <c r="A40" s="59"/>
      <c r="B40" s="59"/>
      <c r="C40" s="59"/>
      <c r="D40" s="112"/>
      <c r="E40" s="59"/>
      <c r="F40" s="59"/>
      <c r="G40" s="59"/>
      <c r="H40" s="59"/>
      <c r="I40" s="59"/>
      <c r="J40" s="64"/>
    </row>
    <row r="41" spans="1:10" ht="16.5" x14ac:dyDescent="0.3">
      <c r="A41" s="59" t="s">
        <v>68</v>
      </c>
      <c r="B41" s="59"/>
      <c r="C41" s="59"/>
      <c r="D41" s="112"/>
      <c r="E41" s="59" t="s">
        <v>69</v>
      </c>
      <c r="F41" s="59"/>
      <c r="G41" s="59"/>
      <c r="H41" s="59"/>
      <c r="I41" s="59"/>
      <c r="J41" s="64"/>
    </row>
    <row r="42" spans="1:10" ht="16.5" x14ac:dyDescent="0.3">
      <c r="A42" s="59" t="s">
        <v>70</v>
      </c>
      <c r="B42" s="59"/>
      <c r="C42" s="59"/>
      <c r="D42" s="112"/>
      <c r="E42" s="59" t="s">
        <v>71</v>
      </c>
      <c r="F42" s="59"/>
      <c r="G42" s="59"/>
      <c r="H42" s="59"/>
      <c r="I42" s="59"/>
      <c r="J42" s="64"/>
    </row>
  </sheetData>
  <mergeCells count="3">
    <mergeCell ref="J6:J7"/>
    <mergeCell ref="A8:C8"/>
    <mergeCell ref="A25:J25"/>
  </mergeCells>
  <pageMargins left="0.25" right="0.25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1:L42"/>
  <sheetViews>
    <sheetView workbookViewId="0">
      <selection activeCell="M20" sqref="M20"/>
    </sheetView>
  </sheetViews>
  <sheetFormatPr defaultRowHeight="12.75" x14ac:dyDescent="0.2"/>
  <cols>
    <col min="1" max="1" width="4.85546875" customWidth="1"/>
    <col min="2" max="2" width="17.85546875" customWidth="1"/>
    <col min="3" max="3" width="11.7109375" customWidth="1"/>
    <col min="4" max="4" width="9.28515625" style="122" bestFit="1" customWidth="1"/>
    <col min="5" max="5" width="9.28515625" bestFit="1" customWidth="1"/>
    <col min="6" max="6" width="10.28515625" bestFit="1" customWidth="1"/>
    <col min="7" max="8" width="9.28515625" bestFit="1" customWidth="1"/>
    <col min="9" max="9" width="9.42578125" bestFit="1" customWidth="1"/>
    <col min="10" max="10" width="15.140625" bestFit="1" customWidth="1"/>
  </cols>
  <sheetData>
    <row r="1" spans="1:11" ht="17.25" thickBot="1" x14ac:dyDescent="0.35">
      <c r="A1" s="59"/>
      <c r="B1" s="59"/>
      <c r="C1" s="60" t="s">
        <v>29</v>
      </c>
      <c r="D1" s="112"/>
      <c r="E1" s="59"/>
      <c r="F1" s="61" t="s">
        <v>164</v>
      </c>
      <c r="G1" s="62"/>
      <c r="H1" s="63"/>
      <c r="I1" s="59"/>
      <c r="J1" s="64"/>
    </row>
    <row r="2" spans="1:11" ht="16.5" x14ac:dyDescent="0.3">
      <c r="A2" s="59" t="s">
        <v>30</v>
      </c>
      <c r="B2" s="59"/>
      <c r="C2" s="65" t="s">
        <v>31</v>
      </c>
      <c r="D2" s="112"/>
      <c r="E2" s="65"/>
      <c r="F2" s="59"/>
      <c r="G2" s="59"/>
      <c r="H2" s="59"/>
      <c r="I2" s="59"/>
      <c r="J2" s="64"/>
    </row>
    <row r="3" spans="1:11" ht="16.5" x14ac:dyDescent="0.3">
      <c r="A3" s="59" t="s">
        <v>32</v>
      </c>
      <c r="B3" s="59"/>
      <c r="C3" s="65">
        <v>13</v>
      </c>
      <c r="D3" s="112"/>
      <c r="E3" s="59"/>
      <c r="F3" s="59"/>
      <c r="G3" s="59"/>
      <c r="H3" s="59"/>
      <c r="I3" s="59"/>
      <c r="J3" s="64"/>
    </row>
    <row r="4" spans="1:11" ht="16.5" x14ac:dyDescent="0.3">
      <c r="A4" s="59" t="s">
        <v>33</v>
      </c>
      <c r="B4" s="59"/>
      <c r="C4" s="66">
        <v>39197</v>
      </c>
      <c r="D4" s="112"/>
      <c r="E4" s="59"/>
      <c r="F4" s="59"/>
      <c r="G4" s="59"/>
      <c r="H4" s="59"/>
      <c r="I4" s="59"/>
      <c r="J4" s="64"/>
    </row>
    <row r="5" spans="1:11" ht="16.5" x14ac:dyDescent="0.3">
      <c r="A5" s="59" t="s">
        <v>34</v>
      </c>
      <c r="B5" s="59"/>
      <c r="C5" s="66" t="s">
        <v>129</v>
      </c>
      <c r="D5" s="112"/>
      <c r="E5" s="59"/>
      <c r="F5" s="59"/>
      <c r="G5" s="59"/>
      <c r="H5" s="59"/>
      <c r="I5" s="59"/>
      <c r="J5" s="64"/>
    </row>
    <row r="6" spans="1:11" ht="28.9" customHeight="1" x14ac:dyDescent="0.25">
      <c r="A6" s="67" t="s">
        <v>35</v>
      </c>
      <c r="B6" s="67" t="s">
        <v>36</v>
      </c>
      <c r="C6" s="68" t="s">
        <v>37</v>
      </c>
      <c r="D6" s="68" t="s">
        <v>38</v>
      </c>
      <c r="E6" s="69" t="s">
        <v>39</v>
      </c>
      <c r="F6" s="68" t="s">
        <v>40</v>
      </c>
      <c r="G6" s="69" t="s">
        <v>41</v>
      </c>
      <c r="H6" s="68" t="s">
        <v>42</v>
      </c>
      <c r="I6" s="69" t="s">
        <v>43</v>
      </c>
      <c r="J6" s="328" t="s">
        <v>44</v>
      </c>
    </row>
    <row r="7" spans="1:11" ht="15" x14ac:dyDescent="0.25">
      <c r="A7" s="70" t="s">
        <v>45</v>
      </c>
      <c r="B7" s="70"/>
      <c r="C7" s="71" t="s">
        <v>36</v>
      </c>
      <c r="D7" s="71"/>
      <c r="E7" s="72"/>
      <c r="F7" s="71"/>
      <c r="G7" s="72"/>
      <c r="H7" s="71"/>
      <c r="I7" s="72" t="s">
        <v>46</v>
      </c>
      <c r="J7" s="328"/>
    </row>
    <row r="8" spans="1:11" ht="16.5" x14ac:dyDescent="0.3">
      <c r="A8" s="329" t="s">
        <v>161</v>
      </c>
      <c r="B8" s="335"/>
      <c r="C8" s="331"/>
      <c r="D8" s="75"/>
      <c r="E8" s="73"/>
      <c r="F8" s="73"/>
      <c r="G8" s="73"/>
      <c r="H8" s="73"/>
      <c r="I8" s="73"/>
      <c r="J8" s="175">
        <v>23.439999999999998</v>
      </c>
    </row>
    <row r="9" spans="1:11" ht="17.25" customHeight="1" x14ac:dyDescent="0.3">
      <c r="A9" s="163"/>
      <c r="B9" s="110">
        <v>2016</v>
      </c>
      <c r="C9" s="164"/>
      <c r="D9" s="164"/>
      <c r="E9" s="164"/>
      <c r="F9" s="164"/>
      <c r="G9" s="164"/>
      <c r="H9" s="164"/>
      <c r="I9" s="164"/>
      <c r="J9" s="165"/>
      <c r="K9" s="111"/>
    </row>
    <row r="10" spans="1:11" ht="17.25" customHeight="1" x14ac:dyDescent="0.3">
      <c r="A10" s="75">
        <v>1</v>
      </c>
      <c r="B10" s="168" t="s">
        <v>54</v>
      </c>
      <c r="C10" s="164">
        <v>30</v>
      </c>
      <c r="D10" s="164"/>
      <c r="E10" s="164"/>
      <c r="F10" s="164"/>
      <c r="G10" s="164"/>
      <c r="H10" s="164"/>
      <c r="I10" s="164">
        <f t="shared" ref="I10:I22" si="0">C10-D10-E10-F10</f>
        <v>30</v>
      </c>
      <c r="J10" s="165">
        <f t="shared" ref="J10:J17" si="1">+I10*0.09</f>
        <v>2.6999999999999997</v>
      </c>
      <c r="K10" s="111"/>
    </row>
    <row r="11" spans="1:11" ht="17.25" customHeight="1" x14ac:dyDescent="0.3">
      <c r="A11" s="75">
        <v>2</v>
      </c>
      <c r="B11" s="168" t="s">
        <v>55</v>
      </c>
      <c r="C11" s="164">
        <v>31</v>
      </c>
      <c r="D11" s="164"/>
      <c r="E11" s="164"/>
      <c r="F11" s="164"/>
      <c r="G11" s="164"/>
      <c r="H11" s="164"/>
      <c r="I11" s="164">
        <f t="shared" si="0"/>
        <v>31</v>
      </c>
      <c r="J11" s="165">
        <f t="shared" si="1"/>
        <v>2.79</v>
      </c>
      <c r="K11" s="111"/>
    </row>
    <row r="12" spans="1:11" ht="17.25" customHeight="1" x14ac:dyDescent="0.3">
      <c r="A12" s="75">
        <v>3</v>
      </c>
      <c r="B12" s="168" t="s">
        <v>56</v>
      </c>
      <c r="C12" s="164">
        <v>30</v>
      </c>
      <c r="D12" s="164"/>
      <c r="E12" s="164">
        <v>3</v>
      </c>
      <c r="F12" s="164"/>
      <c r="G12" s="164"/>
      <c r="H12" s="164"/>
      <c r="I12" s="164">
        <f t="shared" si="0"/>
        <v>27</v>
      </c>
      <c r="J12" s="165">
        <f t="shared" si="1"/>
        <v>2.4299999999999997</v>
      </c>
      <c r="K12" s="111"/>
    </row>
    <row r="13" spans="1:11" ht="17.25" customHeight="1" x14ac:dyDescent="0.3">
      <c r="A13" s="75">
        <v>4</v>
      </c>
      <c r="B13" s="168" t="s">
        <v>57</v>
      </c>
      <c r="C13" s="164">
        <v>31</v>
      </c>
      <c r="D13" s="164">
        <v>17</v>
      </c>
      <c r="E13" s="164"/>
      <c r="F13" s="164"/>
      <c r="G13" s="164"/>
      <c r="H13" s="164"/>
      <c r="I13" s="164">
        <f t="shared" si="0"/>
        <v>14</v>
      </c>
      <c r="J13" s="165">
        <f t="shared" si="1"/>
        <v>1.26</v>
      </c>
      <c r="K13" s="111"/>
    </row>
    <row r="14" spans="1:11" ht="17.25" customHeight="1" x14ac:dyDescent="0.3">
      <c r="A14" s="75">
        <v>5</v>
      </c>
      <c r="B14" s="168" t="s">
        <v>73</v>
      </c>
      <c r="C14" s="164">
        <v>31</v>
      </c>
      <c r="D14" s="164"/>
      <c r="E14" s="164"/>
      <c r="F14" s="164"/>
      <c r="G14" s="164"/>
      <c r="H14" s="164"/>
      <c r="I14" s="164">
        <f t="shared" si="0"/>
        <v>31</v>
      </c>
      <c r="J14" s="165">
        <f t="shared" si="1"/>
        <v>2.79</v>
      </c>
      <c r="K14" s="111"/>
    </row>
    <row r="15" spans="1:11" ht="17.25" customHeight="1" x14ac:dyDescent="0.3">
      <c r="A15" s="75">
        <v>6</v>
      </c>
      <c r="B15" s="168" t="s">
        <v>47</v>
      </c>
      <c r="C15" s="164">
        <v>30</v>
      </c>
      <c r="D15" s="164"/>
      <c r="E15" s="164"/>
      <c r="F15" s="164"/>
      <c r="G15" s="164"/>
      <c r="H15" s="164"/>
      <c r="I15" s="164">
        <f t="shared" si="0"/>
        <v>30</v>
      </c>
      <c r="J15" s="165">
        <f t="shared" si="1"/>
        <v>2.6999999999999997</v>
      </c>
      <c r="K15" s="111"/>
    </row>
    <row r="16" spans="1:11" ht="17.25" customHeight="1" x14ac:dyDescent="0.3">
      <c r="A16" s="75">
        <v>7</v>
      </c>
      <c r="B16" s="168" t="s">
        <v>48</v>
      </c>
      <c r="C16" s="164">
        <v>31</v>
      </c>
      <c r="D16" s="164"/>
      <c r="E16" s="164"/>
      <c r="F16" s="164"/>
      <c r="G16" s="164"/>
      <c r="H16" s="164"/>
      <c r="I16" s="164">
        <f t="shared" si="0"/>
        <v>31</v>
      </c>
      <c r="J16" s="165">
        <f t="shared" si="1"/>
        <v>2.79</v>
      </c>
      <c r="K16" s="111"/>
    </row>
    <row r="17" spans="1:12" ht="17.25" customHeight="1" x14ac:dyDescent="0.3">
      <c r="A17" s="75">
        <v>8</v>
      </c>
      <c r="B17" s="168" t="s">
        <v>49</v>
      </c>
      <c r="C17" s="164">
        <v>30</v>
      </c>
      <c r="D17" s="164"/>
      <c r="E17" s="164"/>
      <c r="F17" s="164"/>
      <c r="G17" s="164"/>
      <c r="H17" s="164"/>
      <c r="I17" s="164">
        <f t="shared" si="0"/>
        <v>30</v>
      </c>
      <c r="J17" s="165">
        <f t="shared" si="1"/>
        <v>2.6999999999999997</v>
      </c>
      <c r="K17" s="111"/>
    </row>
    <row r="18" spans="1:12" ht="17.25" customHeight="1" x14ac:dyDescent="0.3">
      <c r="A18" s="75">
        <v>9</v>
      </c>
      <c r="B18" s="168" t="s">
        <v>50</v>
      </c>
      <c r="C18" s="164">
        <v>31</v>
      </c>
      <c r="D18" s="164"/>
      <c r="E18" s="164"/>
      <c r="F18" s="164"/>
      <c r="G18" s="164"/>
      <c r="H18" s="164"/>
      <c r="I18" s="164">
        <f t="shared" si="0"/>
        <v>31</v>
      </c>
      <c r="J18" s="165">
        <f>0.0821917808219178*I18</f>
        <v>2.547945205479452</v>
      </c>
      <c r="K18" s="111"/>
    </row>
    <row r="19" spans="1:12" ht="17.25" customHeight="1" x14ac:dyDescent="0.3">
      <c r="A19" s="75"/>
      <c r="B19" s="110">
        <v>2017</v>
      </c>
      <c r="C19" s="164"/>
      <c r="D19" s="164"/>
      <c r="E19" s="164"/>
      <c r="F19" s="164"/>
      <c r="G19" s="164"/>
      <c r="H19" s="164"/>
      <c r="I19" s="164"/>
      <c r="J19" s="165"/>
      <c r="K19" s="111"/>
    </row>
    <row r="20" spans="1:12" ht="17.25" customHeight="1" x14ac:dyDescent="0.3">
      <c r="A20" s="75">
        <v>10</v>
      </c>
      <c r="B20" s="168" t="s">
        <v>51</v>
      </c>
      <c r="C20" s="164">
        <v>31</v>
      </c>
      <c r="D20" s="164"/>
      <c r="E20" s="164"/>
      <c r="F20" s="164"/>
      <c r="G20" s="164"/>
      <c r="H20" s="164"/>
      <c r="I20" s="164">
        <f t="shared" si="0"/>
        <v>31</v>
      </c>
      <c r="J20" s="165">
        <f t="shared" ref="J20:J22" si="2">0.0821917808219178*I20</f>
        <v>2.547945205479452</v>
      </c>
      <c r="K20" s="111"/>
    </row>
    <row r="21" spans="1:12" ht="17.25" customHeight="1" x14ac:dyDescent="0.3">
      <c r="A21" s="75">
        <v>11</v>
      </c>
      <c r="B21" s="168" t="s">
        <v>52</v>
      </c>
      <c r="C21" s="164">
        <v>28</v>
      </c>
      <c r="D21" s="164"/>
      <c r="E21" s="164"/>
      <c r="F21" s="164"/>
      <c r="G21" s="164"/>
      <c r="H21" s="164"/>
      <c r="I21" s="164">
        <f t="shared" si="0"/>
        <v>28</v>
      </c>
      <c r="J21" s="165">
        <f t="shared" si="2"/>
        <v>2.3013698630136985</v>
      </c>
      <c r="K21" s="111"/>
    </row>
    <row r="22" spans="1:12" ht="17.25" customHeight="1" x14ac:dyDescent="0.3">
      <c r="A22" s="75">
        <v>12</v>
      </c>
      <c r="B22" s="168" t="s">
        <v>53</v>
      </c>
      <c r="C22" s="164">
        <v>31</v>
      </c>
      <c r="D22" s="164"/>
      <c r="E22" s="164"/>
      <c r="F22" s="164"/>
      <c r="G22" s="164"/>
      <c r="H22" s="164"/>
      <c r="I22" s="164">
        <f t="shared" si="0"/>
        <v>31</v>
      </c>
      <c r="J22" s="165">
        <f t="shared" si="2"/>
        <v>2.547945205479452</v>
      </c>
      <c r="K22" s="111"/>
    </row>
    <row r="23" spans="1:12" ht="16.5" x14ac:dyDescent="0.3">
      <c r="A23" s="78" t="s">
        <v>58</v>
      </c>
      <c r="B23" s="79"/>
      <c r="C23" s="80">
        <f t="shared" ref="C23:I23" si="3">SUM(C8:C22)</f>
        <v>365</v>
      </c>
      <c r="D23" s="80">
        <f t="shared" si="3"/>
        <v>17</v>
      </c>
      <c r="E23" s="80">
        <f t="shared" si="3"/>
        <v>3</v>
      </c>
      <c r="F23" s="80">
        <f t="shared" si="3"/>
        <v>0</v>
      </c>
      <c r="G23" s="80">
        <f t="shared" si="3"/>
        <v>0</v>
      </c>
      <c r="H23" s="80">
        <f t="shared" si="3"/>
        <v>0</v>
      </c>
      <c r="I23" s="80">
        <f t="shared" si="3"/>
        <v>345</v>
      </c>
      <c r="J23" s="80">
        <f>SUM(J8:J22)</f>
        <v>53.545205479452051</v>
      </c>
    </row>
    <row r="24" spans="1:12" ht="17.25" thickBot="1" x14ac:dyDescent="0.35">
      <c r="A24" s="81"/>
      <c r="B24" s="82"/>
      <c r="C24" s="82"/>
      <c r="D24" s="113"/>
      <c r="E24" s="82"/>
      <c r="F24" s="82"/>
      <c r="G24" s="82"/>
      <c r="H24" s="82"/>
      <c r="I24" s="82"/>
      <c r="J24" s="83"/>
    </row>
    <row r="25" spans="1:12" ht="15" thickBot="1" x14ac:dyDescent="0.25">
      <c r="A25" s="332" t="s">
        <v>59</v>
      </c>
      <c r="B25" s="333"/>
      <c r="C25" s="333"/>
      <c r="D25" s="333"/>
      <c r="E25" s="333"/>
      <c r="F25" s="333"/>
      <c r="G25" s="333"/>
      <c r="H25" s="333"/>
      <c r="I25" s="333"/>
      <c r="J25" s="334"/>
    </row>
    <row r="26" spans="1:12" ht="16.5" x14ac:dyDescent="0.3">
      <c r="A26" s="84">
        <v>1</v>
      </c>
      <c r="B26" s="85" t="s">
        <v>60</v>
      </c>
      <c r="C26" s="85"/>
      <c r="D26" s="114"/>
      <c r="E26" s="85"/>
      <c r="F26" s="85"/>
      <c r="G26" s="85"/>
      <c r="H26" s="86"/>
      <c r="I26" s="87"/>
      <c r="J26" s="88">
        <f>+D23</f>
        <v>17</v>
      </c>
    </row>
    <row r="27" spans="1:12" ht="16.5" x14ac:dyDescent="0.3">
      <c r="A27" s="84">
        <v>2</v>
      </c>
      <c r="B27" s="85" t="s">
        <v>61</v>
      </c>
      <c r="C27" s="85"/>
      <c r="D27" s="114"/>
      <c r="E27" s="85"/>
      <c r="F27" s="85"/>
      <c r="G27" s="85"/>
      <c r="H27" s="86"/>
      <c r="I27" s="89"/>
      <c r="J27" s="90"/>
    </row>
    <row r="28" spans="1:12" ht="16.5" x14ac:dyDescent="0.3">
      <c r="A28" s="91"/>
      <c r="B28" s="85"/>
      <c r="C28" s="85"/>
      <c r="D28" s="114"/>
      <c r="E28" s="85"/>
      <c r="F28" s="85"/>
      <c r="G28" s="85"/>
      <c r="H28" s="86"/>
      <c r="I28" s="87"/>
      <c r="J28" s="88">
        <f>+D24</f>
        <v>0</v>
      </c>
      <c r="L28" s="111"/>
    </row>
    <row r="29" spans="1:12" ht="17.25" thickBot="1" x14ac:dyDescent="0.35">
      <c r="A29" s="91" t="s">
        <v>62</v>
      </c>
      <c r="B29" s="85"/>
      <c r="C29" s="85"/>
      <c r="D29" s="114"/>
      <c r="E29" s="85"/>
      <c r="F29" s="85"/>
      <c r="G29" s="85"/>
      <c r="H29" s="86"/>
      <c r="I29" s="87"/>
      <c r="J29" s="92">
        <f>J23-J26</f>
        <v>36.545205479452051</v>
      </c>
      <c r="K29" s="111"/>
    </row>
    <row r="30" spans="1:12" ht="17.25" thickBot="1" x14ac:dyDescent="0.35">
      <c r="A30" s="93"/>
      <c r="B30" s="94"/>
      <c r="C30" s="94"/>
      <c r="D30" s="115"/>
      <c r="E30" s="94"/>
      <c r="F30" s="94"/>
      <c r="G30" s="94"/>
      <c r="H30" s="95"/>
      <c r="I30" s="96"/>
      <c r="J30" s="97"/>
    </row>
    <row r="31" spans="1:12" ht="16.5" x14ac:dyDescent="0.3">
      <c r="A31" s="98" t="s">
        <v>63</v>
      </c>
      <c r="B31" s="99"/>
      <c r="C31" s="99"/>
      <c r="D31" s="116"/>
      <c r="E31" s="85"/>
      <c r="F31" s="85"/>
      <c r="G31" s="85"/>
      <c r="H31" s="85"/>
      <c r="I31" s="100"/>
      <c r="J31" s="101"/>
    </row>
    <row r="32" spans="1:12" ht="16.5" x14ac:dyDescent="0.3">
      <c r="A32" s="102">
        <v>1</v>
      </c>
      <c r="B32" s="85" t="s">
        <v>64</v>
      </c>
      <c r="C32" s="85"/>
      <c r="D32" s="117">
        <f>+E23</f>
        <v>3</v>
      </c>
      <c r="E32" s="85"/>
      <c r="F32" s="85"/>
      <c r="G32" s="85"/>
      <c r="H32" s="85"/>
      <c r="I32" s="100"/>
      <c r="J32" s="101"/>
    </row>
    <row r="33" spans="1:10" ht="16.5" x14ac:dyDescent="0.3">
      <c r="A33" s="103">
        <v>2</v>
      </c>
      <c r="B33" s="85" t="s">
        <v>65</v>
      </c>
      <c r="C33" s="85"/>
      <c r="D33" s="118">
        <f>+F23</f>
        <v>0</v>
      </c>
      <c r="E33" s="85"/>
      <c r="F33" s="85"/>
      <c r="G33" s="85"/>
      <c r="H33" s="85"/>
      <c r="I33" s="100"/>
      <c r="J33" s="101"/>
    </row>
    <row r="34" spans="1:10" ht="16.5" x14ac:dyDescent="0.3">
      <c r="A34" s="103">
        <v>3</v>
      </c>
      <c r="B34" s="85" t="s">
        <v>66</v>
      </c>
      <c r="C34" s="85"/>
      <c r="D34" s="118">
        <f>+G23</f>
        <v>0</v>
      </c>
      <c r="E34" s="85"/>
      <c r="F34" s="85"/>
      <c r="G34" s="85"/>
      <c r="H34" s="85"/>
      <c r="I34" s="100"/>
      <c r="J34" s="101"/>
    </row>
    <row r="35" spans="1:10" ht="16.5" x14ac:dyDescent="0.3">
      <c r="A35" s="103">
        <v>4</v>
      </c>
      <c r="B35" s="85" t="s">
        <v>42</v>
      </c>
      <c r="C35" s="85"/>
      <c r="D35" s="118">
        <f>+H23</f>
        <v>0</v>
      </c>
      <c r="E35" s="85"/>
      <c r="F35" s="85"/>
      <c r="G35" s="85"/>
      <c r="H35" s="85"/>
      <c r="I35" s="100"/>
      <c r="J35" s="101"/>
    </row>
    <row r="36" spans="1:10" ht="17.25" thickBot="1" x14ac:dyDescent="0.35">
      <c r="A36" s="104" t="s">
        <v>67</v>
      </c>
      <c r="B36" s="105"/>
      <c r="C36" s="106"/>
      <c r="D36" s="119">
        <f>+D32+D33+D34+D35</f>
        <v>3</v>
      </c>
      <c r="E36" s="85"/>
      <c r="F36" s="85"/>
      <c r="G36" s="85"/>
      <c r="H36" s="85"/>
      <c r="I36" s="100"/>
      <c r="J36" s="101"/>
    </row>
    <row r="37" spans="1:10" ht="17.25" thickTop="1" x14ac:dyDescent="0.3">
      <c r="A37" s="89"/>
      <c r="B37" s="99"/>
      <c r="C37" s="99"/>
      <c r="D37" s="120"/>
      <c r="E37" s="85"/>
      <c r="F37" s="85"/>
      <c r="G37" s="85"/>
      <c r="H37" s="85"/>
      <c r="I37" s="100"/>
      <c r="J37" s="101"/>
    </row>
    <row r="38" spans="1:10" ht="16.5" x14ac:dyDescent="0.3">
      <c r="A38" s="107"/>
      <c r="B38" s="108"/>
      <c r="C38" s="108"/>
      <c r="D38" s="121"/>
      <c r="E38" s="108"/>
      <c r="F38" s="108"/>
      <c r="G38" s="108"/>
      <c r="H38" s="108"/>
      <c r="I38" s="108"/>
      <c r="J38" s="109"/>
    </row>
    <row r="39" spans="1:10" ht="16.5" x14ac:dyDescent="0.3">
      <c r="A39" s="59"/>
      <c r="B39" s="59"/>
      <c r="C39" s="59"/>
      <c r="D39" s="112"/>
      <c r="E39" s="59"/>
      <c r="F39" s="59"/>
      <c r="G39" s="59"/>
      <c r="H39" s="59"/>
      <c r="I39" s="59"/>
      <c r="J39" s="64"/>
    </row>
    <row r="40" spans="1:10" ht="16.5" x14ac:dyDescent="0.3">
      <c r="A40" s="59"/>
      <c r="B40" s="59"/>
      <c r="C40" s="59"/>
      <c r="D40" s="112"/>
      <c r="E40" s="59"/>
      <c r="F40" s="59"/>
      <c r="G40" s="59"/>
      <c r="H40" s="59"/>
      <c r="I40" s="59"/>
      <c r="J40" s="64"/>
    </row>
    <row r="41" spans="1:10" ht="16.5" x14ac:dyDescent="0.3">
      <c r="A41" s="59" t="s">
        <v>68</v>
      </c>
      <c r="B41" s="59"/>
      <c r="C41" s="59"/>
      <c r="D41" s="112"/>
      <c r="E41" s="59" t="s">
        <v>69</v>
      </c>
      <c r="F41" s="59"/>
      <c r="G41" s="59"/>
      <c r="H41" s="59"/>
      <c r="I41" s="59"/>
      <c r="J41" s="64"/>
    </row>
    <row r="42" spans="1:10" ht="16.5" x14ac:dyDescent="0.3">
      <c r="A42" s="59" t="s">
        <v>70</v>
      </c>
      <c r="B42" s="59"/>
      <c r="C42" s="59"/>
      <c r="D42" s="112"/>
      <c r="E42" s="59" t="s">
        <v>71</v>
      </c>
      <c r="F42" s="59"/>
      <c r="G42" s="59"/>
      <c r="H42" s="59"/>
      <c r="I42" s="59"/>
      <c r="J42" s="64"/>
    </row>
  </sheetData>
  <mergeCells count="3">
    <mergeCell ref="J6:J7"/>
    <mergeCell ref="A8:C8"/>
    <mergeCell ref="A25:J25"/>
  </mergeCells>
  <pageMargins left="0.7" right="0" top="0.75" bottom="0.75" header="0.3" footer="0.3"/>
  <pageSetup paperSize="9" scale="74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82"/>
  <sheetViews>
    <sheetView workbookViewId="0"/>
  </sheetViews>
  <sheetFormatPr defaultRowHeight="12.75" x14ac:dyDescent="0.2"/>
  <cols>
    <col min="1" max="1" width="10.28515625" customWidth="1"/>
  </cols>
  <sheetData>
    <row r="1" spans="1:36" x14ac:dyDescent="0.2">
      <c r="A1" s="222"/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222"/>
      <c r="S1" s="222"/>
      <c r="T1" s="222"/>
      <c r="U1" s="222"/>
      <c r="V1" s="222"/>
      <c r="W1" s="222"/>
      <c r="X1" s="222"/>
      <c r="Y1" s="222"/>
      <c r="Z1" s="222"/>
      <c r="AA1" s="222"/>
      <c r="AB1" s="222"/>
      <c r="AC1" s="222"/>
      <c r="AD1" s="222"/>
      <c r="AE1" s="222"/>
      <c r="AF1" s="222"/>
      <c r="AG1" s="222"/>
      <c r="AH1" s="222"/>
      <c r="AI1" s="222"/>
      <c r="AJ1" s="222"/>
    </row>
    <row r="2" spans="1:36" x14ac:dyDescent="0.2">
      <c r="A2" s="222"/>
      <c r="B2" s="222"/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222"/>
      <c r="T2" s="222"/>
      <c r="U2" s="222"/>
      <c r="V2" s="222"/>
      <c r="W2" s="222"/>
      <c r="X2" s="222"/>
      <c r="Y2" s="222"/>
      <c r="Z2" s="222"/>
      <c r="AA2" s="222"/>
      <c r="AB2" s="222"/>
      <c r="AC2" s="222"/>
      <c r="AD2" s="222"/>
      <c r="AE2" s="222"/>
      <c r="AF2" s="222"/>
      <c r="AG2" s="222"/>
      <c r="AH2" s="222"/>
      <c r="AI2" s="222"/>
      <c r="AJ2" s="222"/>
    </row>
    <row r="3" spans="1:36" x14ac:dyDescent="0.2">
      <c r="A3" s="222"/>
      <c r="B3" s="222"/>
      <c r="C3" s="222"/>
      <c r="D3" s="222"/>
      <c r="E3" s="222"/>
      <c r="F3" s="222"/>
      <c r="G3" s="222"/>
      <c r="H3" s="222"/>
      <c r="I3" s="222"/>
      <c r="J3" s="222"/>
      <c r="K3" s="222"/>
      <c r="L3" s="222"/>
      <c r="M3" s="222"/>
      <c r="N3" s="222"/>
      <c r="O3" s="222"/>
      <c r="P3" s="222"/>
      <c r="Q3" s="222"/>
      <c r="R3" s="222"/>
      <c r="S3" s="222"/>
      <c r="T3" s="222"/>
      <c r="U3" s="222"/>
      <c r="V3" s="222"/>
      <c r="W3" s="222"/>
      <c r="X3" s="222"/>
      <c r="Y3" s="222"/>
      <c r="Z3" s="222"/>
      <c r="AA3" s="222"/>
      <c r="AB3" s="222"/>
      <c r="AC3" s="222"/>
      <c r="AD3" s="222"/>
      <c r="AE3" s="222"/>
      <c r="AF3" s="222"/>
      <c r="AG3" s="222"/>
      <c r="AH3" s="222"/>
      <c r="AI3" s="222"/>
      <c r="AJ3" s="222"/>
    </row>
    <row r="4" spans="1:36" x14ac:dyDescent="0.2">
      <c r="A4" s="222"/>
      <c r="B4" s="222"/>
      <c r="C4" s="222"/>
      <c r="D4" s="222"/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</row>
    <row r="5" spans="1:36" x14ac:dyDescent="0.2">
      <c r="A5" s="222"/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222"/>
      <c r="Q5" s="222"/>
      <c r="R5" s="222"/>
      <c r="S5" s="222"/>
      <c r="T5" s="222"/>
      <c r="U5" s="222"/>
      <c r="V5" s="222"/>
      <c r="W5" s="222"/>
      <c r="X5" s="222"/>
      <c r="Y5" s="222"/>
      <c r="Z5" s="222"/>
      <c r="AA5" s="222"/>
      <c r="AB5" s="222"/>
      <c r="AC5" s="222"/>
      <c r="AD5" s="222"/>
      <c r="AE5" s="222"/>
      <c r="AF5" s="222"/>
      <c r="AG5" s="222"/>
      <c r="AH5" s="222"/>
      <c r="AI5" s="222"/>
      <c r="AJ5" s="222"/>
    </row>
    <row r="6" spans="1:36" x14ac:dyDescent="0.2">
      <c r="A6" s="222"/>
      <c r="B6" s="222"/>
      <c r="C6" s="222"/>
      <c r="D6" s="222"/>
      <c r="E6" s="222"/>
      <c r="F6" s="222"/>
      <c r="G6" s="222"/>
      <c r="H6" s="222"/>
      <c r="I6" s="222"/>
      <c r="J6" s="222"/>
      <c r="K6" s="222"/>
      <c r="L6" s="222"/>
      <c r="M6" s="222"/>
      <c r="N6" s="222"/>
      <c r="O6" s="222"/>
      <c r="P6" s="222"/>
      <c r="Q6" s="222"/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</row>
    <row r="7" spans="1:36" x14ac:dyDescent="0.2">
      <c r="A7" s="222"/>
      <c r="B7" s="222"/>
      <c r="C7" s="222"/>
      <c r="D7" s="222"/>
      <c r="E7" s="222"/>
      <c r="F7" s="222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  <c r="AD7" s="222"/>
      <c r="AE7" s="222"/>
      <c r="AF7" s="222"/>
      <c r="AG7" s="222"/>
      <c r="AH7" s="222"/>
      <c r="AI7" s="222"/>
      <c r="AJ7" s="222"/>
    </row>
    <row r="8" spans="1:36" x14ac:dyDescent="0.2">
      <c r="A8" s="222"/>
      <c r="B8" s="222"/>
      <c r="C8" s="222"/>
      <c r="D8" s="222"/>
      <c r="E8" s="222"/>
      <c r="F8" s="222"/>
      <c r="G8" s="222"/>
      <c r="H8" s="222"/>
      <c r="I8" s="222"/>
      <c r="J8" s="222"/>
      <c r="K8" s="222"/>
      <c r="L8" s="222"/>
      <c r="M8" s="222"/>
      <c r="N8" s="222"/>
      <c r="O8" s="222"/>
      <c r="P8" s="222"/>
      <c r="Q8" s="222"/>
      <c r="R8" s="222"/>
      <c r="S8" s="222"/>
      <c r="T8" s="222"/>
      <c r="U8" s="222"/>
      <c r="V8" s="222"/>
      <c r="W8" s="222"/>
      <c r="X8" s="222"/>
      <c r="Y8" s="222"/>
      <c r="Z8" s="222"/>
      <c r="AA8" s="222"/>
      <c r="AB8" s="222"/>
      <c r="AC8" s="222"/>
      <c r="AD8" s="222"/>
      <c r="AE8" s="222"/>
      <c r="AF8" s="222"/>
      <c r="AG8" s="222"/>
      <c r="AH8" s="222"/>
      <c r="AI8" s="222"/>
      <c r="AJ8" s="222"/>
    </row>
    <row r="9" spans="1:36" x14ac:dyDescent="0.2">
      <c r="A9" s="222"/>
      <c r="B9" s="222"/>
      <c r="C9" s="222"/>
      <c r="D9" s="222"/>
      <c r="E9" s="222"/>
      <c r="F9" s="222"/>
      <c r="G9" s="222"/>
      <c r="H9" s="222"/>
      <c r="I9" s="222"/>
      <c r="J9" s="222"/>
      <c r="K9" s="222"/>
      <c r="L9" s="222"/>
      <c r="M9" s="222"/>
      <c r="N9" s="222"/>
      <c r="O9" s="222"/>
      <c r="P9" s="222"/>
      <c r="Q9" s="222"/>
      <c r="R9" s="222"/>
      <c r="S9" s="222"/>
      <c r="T9" s="222"/>
      <c r="U9" s="222"/>
      <c r="V9" s="222"/>
      <c r="W9" s="222"/>
      <c r="X9" s="222"/>
      <c r="Y9" s="222"/>
      <c r="Z9" s="222"/>
      <c r="AA9" s="222"/>
      <c r="AB9" s="222"/>
      <c r="AC9" s="222"/>
      <c r="AD9" s="222"/>
      <c r="AE9" s="222"/>
      <c r="AF9" s="222"/>
      <c r="AG9" s="222"/>
      <c r="AH9" s="222"/>
      <c r="AI9" s="222"/>
      <c r="AJ9" s="222"/>
    </row>
    <row r="10" spans="1:36" x14ac:dyDescent="0.2">
      <c r="A10" s="222"/>
      <c r="B10" s="222"/>
      <c r="C10" s="222"/>
      <c r="D10" s="222"/>
      <c r="E10" s="222"/>
      <c r="F10" s="222"/>
      <c r="G10" s="222"/>
      <c r="H10" s="222"/>
      <c r="I10" s="222"/>
      <c r="J10" s="222"/>
      <c r="K10" s="222"/>
      <c r="L10" s="222"/>
      <c r="M10" s="222"/>
      <c r="N10" s="222"/>
      <c r="O10" s="222"/>
      <c r="P10" s="222"/>
      <c r="Q10" s="222"/>
      <c r="R10" s="222"/>
      <c r="S10" s="222"/>
      <c r="T10" s="222"/>
      <c r="U10" s="222"/>
      <c r="V10" s="222"/>
      <c r="W10" s="222"/>
      <c r="X10" s="222"/>
      <c r="Y10" s="222"/>
      <c r="Z10" s="222"/>
      <c r="AA10" s="222"/>
      <c r="AB10" s="222"/>
      <c r="AC10" s="222"/>
      <c r="AD10" s="222"/>
      <c r="AE10" s="222"/>
      <c r="AF10" s="222"/>
      <c r="AG10" s="222"/>
      <c r="AH10" s="222"/>
      <c r="AI10" s="222"/>
      <c r="AJ10" s="222"/>
    </row>
    <row r="11" spans="1:36" x14ac:dyDescent="0.2">
      <c r="A11" s="222"/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Q11" s="222"/>
      <c r="R11" s="222"/>
      <c r="S11" s="222"/>
      <c r="T11" s="222"/>
      <c r="U11" s="222"/>
      <c r="V11" s="222"/>
      <c r="W11" s="222"/>
      <c r="X11" s="222"/>
      <c r="Y11" s="222"/>
      <c r="Z11" s="222"/>
      <c r="AA11" s="222"/>
      <c r="AB11" s="222"/>
      <c r="AC11" s="222"/>
      <c r="AD11" s="222"/>
      <c r="AE11" s="222"/>
      <c r="AF11" s="222"/>
      <c r="AG11" s="222"/>
      <c r="AH11" s="222"/>
      <c r="AI11" s="222"/>
      <c r="AJ11" s="222"/>
    </row>
    <row r="12" spans="1:36" x14ac:dyDescent="0.2">
      <c r="A12" s="222"/>
      <c r="B12" s="222"/>
      <c r="C12" s="222"/>
      <c r="D12" s="222"/>
      <c r="E12" s="222"/>
      <c r="F12" s="222"/>
      <c r="G12" s="222"/>
      <c r="H12" s="222"/>
      <c r="I12" s="222"/>
      <c r="J12" s="222"/>
      <c r="K12" s="222"/>
      <c r="L12" s="222"/>
      <c r="M12" s="222"/>
      <c r="N12" s="222"/>
      <c r="O12" s="222"/>
      <c r="P12" s="222"/>
      <c r="Q12" s="222"/>
      <c r="R12" s="222"/>
      <c r="S12" s="222"/>
      <c r="T12" s="222"/>
      <c r="U12" s="222"/>
      <c r="V12" s="222"/>
      <c r="W12" s="222"/>
      <c r="X12" s="222"/>
      <c r="Y12" s="222"/>
      <c r="Z12" s="222"/>
      <c r="AA12" s="222"/>
      <c r="AB12" s="222"/>
      <c r="AC12" s="222"/>
      <c r="AD12" s="222"/>
      <c r="AE12" s="222"/>
      <c r="AF12" s="222"/>
      <c r="AG12" s="222"/>
      <c r="AH12" s="222"/>
      <c r="AI12" s="222"/>
      <c r="AJ12" s="222"/>
    </row>
    <row r="13" spans="1:36" x14ac:dyDescent="0.2">
      <c r="A13" s="222"/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2"/>
    </row>
    <row r="14" spans="1:36" x14ac:dyDescent="0.2">
      <c r="A14" s="222"/>
      <c r="B14" s="222"/>
      <c r="C14" s="222"/>
      <c r="D14" s="222"/>
      <c r="E14" s="222"/>
      <c r="F14" s="222"/>
      <c r="G14" s="222"/>
      <c r="H14" s="222"/>
      <c r="I14" s="222"/>
      <c r="J14" s="222"/>
      <c r="K14" s="222"/>
      <c r="L14" s="222"/>
      <c r="M14" s="222"/>
      <c r="N14" s="222"/>
      <c r="O14" s="222"/>
      <c r="P14" s="222"/>
      <c r="Q14" s="222"/>
      <c r="R14" s="222"/>
      <c r="S14" s="222"/>
      <c r="T14" s="222"/>
      <c r="U14" s="222"/>
      <c r="V14" s="222"/>
      <c r="W14" s="222"/>
      <c r="X14" s="222"/>
      <c r="Y14" s="222"/>
      <c r="Z14" s="222"/>
      <c r="AA14" s="222"/>
      <c r="AB14" s="222"/>
      <c r="AC14" s="222"/>
      <c r="AD14" s="222"/>
      <c r="AE14" s="222"/>
      <c r="AF14" s="222"/>
      <c r="AG14" s="222"/>
      <c r="AH14" s="222"/>
      <c r="AI14" s="222"/>
      <c r="AJ14" s="222"/>
    </row>
    <row r="15" spans="1:36" x14ac:dyDescent="0.2">
      <c r="A15" s="222"/>
      <c r="B15" s="222"/>
      <c r="C15" s="222"/>
      <c r="D15" s="222"/>
      <c r="E15" s="222"/>
      <c r="F15" s="222"/>
      <c r="G15" s="222"/>
      <c r="H15" s="222"/>
      <c r="I15" s="222"/>
      <c r="J15" s="222"/>
      <c r="K15" s="222"/>
      <c r="L15" s="222"/>
      <c r="M15" s="222"/>
      <c r="N15" s="222"/>
      <c r="O15" s="222"/>
      <c r="P15" s="222"/>
      <c r="Q15" s="222"/>
      <c r="R15" s="222"/>
      <c r="S15" s="222"/>
      <c r="T15" s="222"/>
      <c r="U15" s="222"/>
      <c r="V15" s="222"/>
      <c r="W15" s="222"/>
      <c r="X15" s="222"/>
      <c r="Y15" s="222"/>
      <c r="Z15" s="222"/>
      <c r="AA15" s="222"/>
      <c r="AB15" s="222"/>
      <c r="AC15" s="222"/>
      <c r="AD15" s="222"/>
      <c r="AE15" s="222"/>
      <c r="AF15" s="222"/>
      <c r="AG15" s="222"/>
      <c r="AH15" s="222"/>
      <c r="AI15" s="222"/>
      <c r="AJ15" s="222"/>
    </row>
    <row r="16" spans="1:36" x14ac:dyDescent="0.2">
      <c r="A16" s="222"/>
      <c r="B16" s="222"/>
      <c r="C16" s="222"/>
      <c r="D16" s="222"/>
      <c r="E16" s="222"/>
      <c r="F16" s="222"/>
      <c r="G16" s="222"/>
      <c r="H16" s="222"/>
      <c r="I16" s="222"/>
      <c r="J16" s="222"/>
      <c r="K16" s="222"/>
      <c r="L16" s="222"/>
      <c r="M16" s="222"/>
      <c r="N16" s="222"/>
      <c r="O16" s="222"/>
      <c r="P16" s="222"/>
      <c r="Q16" s="222"/>
      <c r="R16" s="222"/>
      <c r="S16" s="222"/>
      <c r="T16" s="222"/>
      <c r="U16" s="222"/>
      <c r="V16" s="222"/>
      <c r="W16" s="222"/>
      <c r="X16" s="222"/>
      <c r="Y16" s="222"/>
      <c r="Z16" s="222"/>
      <c r="AA16" s="222"/>
      <c r="AB16" s="222"/>
      <c r="AC16" s="222"/>
      <c r="AD16" s="222"/>
      <c r="AE16" s="222"/>
      <c r="AF16" s="222"/>
      <c r="AG16" s="222"/>
      <c r="AH16" s="222"/>
      <c r="AI16" s="222"/>
      <c r="AJ16" s="222"/>
    </row>
    <row r="17" spans="1:36" x14ac:dyDescent="0.2">
      <c r="A17" s="222"/>
      <c r="B17" s="222"/>
      <c r="C17" s="222"/>
      <c r="D17" s="222"/>
      <c r="E17" s="222"/>
      <c r="F17" s="222"/>
      <c r="G17" s="222"/>
      <c r="H17" s="222"/>
      <c r="I17" s="222"/>
      <c r="J17" s="222"/>
      <c r="K17" s="222"/>
      <c r="L17" s="222"/>
      <c r="M17" s="222"/>
      <c r="N17" s="222"/>
      <c r="O17" s="222"/>
      <c r="P17" s="222"/>
      <c r="Q17" s="222"/>
      <c r="R17" s="222"/>
      <c r="S17" s="222"/>
      <c r="T17" s="222"/>
      <c r="U17" s="222"/>
      <c r="V17" s="222"/>
      <c r="W17" s="222"/>
      <c r="X17" s="222"/>
      <c r="Y17" s="222"/>
      <c r="Z17" s="222"/>
      <c r="AA17" s="222"/>
      <c r="AB17" s="222"/>
      <c r="AC17" s="222"/>
      <c r="AD17" s="222"/>
      <c r="AE17" s="222"/>
      <c r="AF17" s="222"/>
      <c r="AG17" s="222"/>
      <c r="AH17" s="222"/>
      <c r="AI17" s="222"/>
      <c r="AJ17" s="222"/>
    </row>
    <row r="18" spans="1:36" x14ac:dyDescent="0.2">
      <c r="A18" s="222"/>
      <c r="B18" s="222"/>
      <c r="C18" s="222"/>
      <c r="D18" s="222"/>
      <c r="E18" s="222"/>
      <c r="F18" s="222"/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22"/>
      <c r="V18" s="222"/>
      <c r="W18" s="222"/>
      <c r="X18" s="222"/>
      <c r="Y18" s="222"/>
      <c r="Z18" s="222"/>
      <c r="AA18" s="222"/>
      <c r="AB18" s="222"/>
      <c r="AC18" s="222"/>
      <c r="AD18" s="222"/>
      <c r="AE18" s="222"/>
      <c r="AF18" s="222"/>
      <c r="AG18" s="222"/>
      <c r="AH18" s="222"/>
      <c r="AI18" s="222"/>
      <c r="AJ18" s="222"/>
    </row>
    <row r="19" spans="1:36" x14ac:dyDescent="0.2">
      <c r="A19" s="222"/>
      <c r="B19" s="222"/>
      <c r="C19" s="222"/>
      <c r="D19" s="222"/>
      <c r="E19" s="222"/>
      <c r="F19" s="222"/>
      <c r="G19" s="222"/>
      <c r="H19" s="222"/>
      <c r="I19" s="222"/>
      <c r="J19" s="222"/>
      <c r="K19" s="222"/>
      <c r="L19" s="222"/>
      <c r="M19" s="222"/>
      <c r="N19" s="222"/>
      <c r="O19" s="222"/>
      <c r="P19" s="222"/>
      <c r="Q19" s="222"/>
      <c r="R19" s="222"/>
      <c r="S19" s="222"/>
      <c r="T19" s="222"/>
      <c r="U19" s="222"/>
      <c r="V19" s="222"/>
      <c r="W19" s="222"/>
      <c r="X19" s="222"/>
      <c r="Y19" s="222"/>
      <c r="Z19" s="222"/>
      <c r="AA19" s="222"/>
      <c r="AB19" s="222"/>
      <c r="AC19" s="222"/>
      <c r="AD19" s="222"/>
      <c r="AE19" s="222"/>
      <c r="AF19" s="222"/>
      <c r="AG19" s="222"/>
      <c r="AH19" s="222"/>
      <c r="AI19" s="222"/>
      <c r="AJ19" s="222"/>
    </row>
    <row r="20" spans="1:36" x14ac:dyDescent="0.2">
      <c r="A20" s="222"/>
      <c r="B20" s="222"/>
      <c r="C20" s="222"/>
      <c r="D20" s="222"/>
      <c r="E20" s="222"/>
      <c r="F20" s="222"/>
      <c r="G20" s="222"/>
      <c r="H20" s="222"/>
      <c r="I20" s="222"/>
      <c r="J20" s="222"/>
      <c r="K20" s="222"/>
      <c r="L20" s="222"/>
      <c r="M20" s="222"/>
      <c r="N20" s="222"/>
      <c r="O20" s="222"/>
      <c r="P20" s="222"/>
      <c r="Q20" s="222"/>
      <c r="R20" s="222"/>
      <c r="S20" s="222"/>
      <c r="T20" s="222"/>
      <c r="U20" s="222"/>
      <c r="V20" s="222"/>
      <c r="W20" s="222"/>
      <c r="X20" s="222"/>
      <c r="Y20" s="222"/>
      <c r="Z20" s="222"/>
      <c r="AA20" s="222"/>
      <c r="AB20" s="222"/>
      <c r="AC20" s="222"/>
      <c r="AD20" s="222"/>
      <c r="AE20" s="222"/>
      <c r="AF20" s="222"/>
      <c r="AG20" s="222"/>
      <c r="AH20" s="222"/>
      <c r="AI20" s="222"/>
      <c r="AJ20" s="222"/>
    </row>
    <row r="21" spans="1:36" x14ac:dyDescent="0.2">
      <c r="A21" s="222"/>
      <c r="B21" s="222"/>
      <c r="C21" s="222"/>
      <c r="D21" s="222"/>
      <c r="E21" s="222"/>
      <c r="F21" s="222"/>
      <c r="G21" s="222"/>
      <c r="H21" s="222"/>
      <c r="I21" s="222"/>
      <c r="J21" s="222"/>
      <c r="K21" s="222"/>
      <c r="L21" s="222"/>
      <c r="M21" s="222"/>
      <c r="N21" s="222"/>
      <c r="O21" s="222"/>
      <c r="P21" s="222"/>
      <c r="Q21" s="222"/>
      <c r="R21" s="222"/>
      <c r="S21" s="222"/>
      <c r="T21" s="222"/>
      <c r="U21" s="222"/>
      <c r="V21" s="222"/>
      <c r="W21" s="222"/>
      <c r="X21" s="222"/>
      <c r="Y21" s="222"/>
      <c r="Z21" s="222"/>
      <c r="AA21" s="222"/>
      <c r="AB21" s="222"/>
      <c r="AC21" s="222"/>
      <c r="AD21" s="222"/>
      <c r="AE21" s="222"/>
      <c r="AF21" s="222"/>
      <c r="AG21" s="222"/>
      <c r="AH21" s="222"/>
      <c r="AI21" s="222"/>
      <c r="AJ21" s="222"/>
    </row>
    <row r="22" spans="1:36" x14ac:dyDescent="0.2">
      <c r="A22" s="222"/>
      <c r="B22" s="222"/>
      <c r="C22" s="222"/>
      <c r="D22" s="222"/>
      <c r="E22" s="222"/>
      <c r="F22" s="222"/>
      <c r="G22" s="222"/>
      <c r="H22" s="222"/>
      <c r="I22" s="222"/>
      <c r="J22" s="222"/>
      <c r="K22" s="222"/>
      <c r="L22" s="222"/>
      <c r="M22" s="222"/>
      <c r="N22" s="222"/>
      <c r="O22" s="222"/>
      <c r="P22" s="222"/>
      <c r="Q22" s="222"/>
      <c r="R22" s="222"/>
      <c r="S22" s="222"/>
      <c r="T22" s="222"/>
      <c r="U22" s="222"/>
      <c r="V22" s="222"/>
      <c r="W22" s="222"/>
      <c r="X22" s="222"/>
      <c r="Y22" s="222"/>
      <c r="Z22" s="222"/>
      <c r="AA22" s="222"/>
      <c r="AB22" s="222"/>
      <c r="AC22" s="222"/>
      <c r="AD22" s="222"/>
      <c r="AE22" s="222"/>
      <c r="AF22" s="222"/>
      <c r="AG22" s="222"/>
      <c r="AH22" s="222"/>
      <c r="AI22" s="222"/>
      <c r="AJ22" s="222"/>
    </row>
    <row r="23" spans="1:36" x14ac:dyDescent="0.2">
      <c r="A23" s="222"/>
      <c r="B23" s="222"/>
      <c r="C23" s="222"/>
      <c r="D23" s="222"/>
      <c r="E23" s="222"/>
      <c r="F23" s="222"/>
      <c r="G23" s="222"/>
      <c r="H23" s="222"/>
      <c r="I23" s="222"/>
      <c r="J23" s="222"/>
      <c r="K23" s="222"/>
      <c r="L23" s="222"/>
      <c r="M23" s="222"/>
      <c r="N23" s="222"/>
      <c r="O23" s="222"/>
      <c r="P23" s="222"/>
      <c r="Q23" s="222"/>
      <c r="R23" s="222"/>
      <c r="S23" s="222"/>
      <c r="T23" s="222"/>
      <c r="U23" s="222"/>
      <c r="V23" s="222"/>
      <c r="W23" s="222"/>
      <c r="X23" s="222"/>
      <c r="Y23" s="222"/>
      <c r="Z23" s="222"/>
      <c r="AA23" s="222"/>
      <c r="AB23" s="222"/>
      <c r="AC23" s="222"/>
      <c r="AD23" s="222"/>
      <c r="AE23" s="222"/>
      <c r="AF23" s="222"/>
      <c r="AG23" s="222"/>
      <c r="AH23" s="222"/>
      <c r="AI23" s="222"/>
      <c r="AJ23" s="222"/>
    </row>
    <row r="24" spans="1:36" x14ac:dyDescent="0.2">
      <c r="A24" s="222"/>
      <c r="B24" s="222"/>
      <c r="C24" s="222"/>
      <c r="D24" s="222"/>
      <c r="E24" s="222"/>
      <c r="F24" s="222"/>
      <c r="G24" s="222"/>
      <c r="H24" s="222"/>
      <c r="I24" s="222"/>
      <c r="J24" s="222"/>
      <c r="K24" s="222"/>
      <c r="L24" s="222"/>
      <c r="M24" s="222"/>
      <c r="N24" s="222"/>
      <c r="O24" s="222"/>
      <c r="P24" s="222"/>
      <c r="Q24" s="222"/>
      <c r="R24" s="222"/>
      <c r="S24" s="222"/>
      <c r="T24" s="222"/>
      <c r="U24" s="222"/>
      <c r="V24" s="222"/>
      <c r="W24" s="222"/>
      <c r="X24" s="222"/>
      <c r="Y24" s="222"/>
      <c r="Z24" s="222"/>
      <c r="AA24" s="222"/>
      <c r="AB24" s="222"/>
      <c r="AC24" s="222"/>
      <c r="AD24" s="222"/>
      <c r="AE24" s="222"/>
      <c r="AF24" s="222"/>
      <c r="AG24" s="222"/>
      <c r="AH24" s="222"/>
      <c r="AI24" s="222"/>
      <c r="AJ24" s="222"/>
    </row>
    <row r="25" spans="1:36" x14ac:dyDescent="0.2">
      <c r="A25" s="222"/>
      <c r="B25" s="222"/>
      <c r="C25" s="222"/>
      <c r="D25" s="222"/>
      <c r="E25" s="222"/>
      <c r="F25" s="222"/>
      <c r="G25" s="222"/>
      <c r="H25" s="222"/>
      <c r="I25" s="222"/>
      <c r="J25" s="222"/>
      <c r="K25" s="222"/>
      <c r="L25" s="222"/>
      <c r="M25" s="222"/>
      <c r="N25" s="222"/>
      <c r="O25" s="222"/>
      <c r="P25" s="222"/>
      <c r="Q25" s="222"/>
      <c r="R25" s="222"/>
      <c r="S25" s="222"/>
      <c r="T25" s="222"/>
      <c r="U25" s="222"/>
      <c r="V25" s="222"/>
      <c r="W25" s="222"/>
      <c r="X25" s="222"/>
      <c r="Y25" s="222"/>
      <c r="Z25" s="222"/>
      <c r="AA25" s="222"/>
      <c r="AB25" s="222"/>
      <c r="AC25" s="222"/>
      <c r="AD25" s="222"/>
      <c r="AE25" s="222"/>
      <c r="AF25" s="222"/>
      <c r="AG25" s="222"/>
      <c r="AH25" s="222"/>
      <c r="AI25" s="222"/>
      <c r="AJ25" s="222"/>
    </row>
    <row r="26" spans="1:36" x14ac:dyDescent="0.2">
      <c r="A26" s="222"/>
      <c r="B26" s="222"/>
      <c r="C26" s="222"/>
      <c r="D26" s="222"/>
      <c r="E26" s="222"/>
      <c r="F26" s="222"/>
      <c r="G26" s="222"/>
      <c r="H26" s="222"/>
      <c r="I26" s="222"/>
      <c r="J26" s="222"/>
      <c r="K26" s="222"/>
      <c r="L26" s="222"/>
      <c r="M26" s="222"/>
      <c r="N26" s="222"/>
      <c r="O26" s="222"/>
      <c r="P26" s="222"/>
      <c r="Q26" s="222"/>
      <c r="R26" s="222"/>
      <c r="S26" s="222"/>
      <c r="T26" s="222"/>
      <c r="U26" s="222"/>
      <c r="V26" s="222"/>
      <c r="W26" s="222"/>
      <c r="X26" s="222"/>
      <c r="Y26" s="222"/>
      <c r="Z26" s="222"/>
      <c r="AA26" s="222"/>
      <c r="AB26" s="222"/>
      <c r="AC26" s="222"/>
      <c r="AD26" s="222"/>
      <c r="AE26" s="222"/>
      <c r="AF26" s="222"/>
      <c r="AG26" s="222"/>
      <c r="AH26" s="222"/>
      <c r="AI26" s="222"/>
      <c r="AJ26" s="222"/>
    </row>
    <row r="27" spans="1:36" x14ac:dyDescent="0.2">
      <c r="A27" s="222"/>
      <c r="B27" s="222"/>
      <c r="C27" s="222"/>
      <c r="D27" s="222"/>
      <c r="E27" s="222"/>
      <c r="F27" s="222"/>
      <c r="G27" s="222"/>
      <c r="H27" s="222"/>
      <c r="I27" s="222"/>
      <c r="J27" s="222"/>
      <c r="K27" s="222"/>
      <c r="L27" s="222"/>
      <c r="M27" s="222"/>
      <c r="N27" s="222"/>
      <c r="O27" s="222"/>
      <c r="P27" s="222"/>
      <c r="Q27" s="222"/>
      <c r="R27" s="222"/>
      <c r="S27" s="222"/>
      <c r="T27" s="222"/>
      <c r="U27" s="222"/>
      <c r="V27" s="222"/>
      <c r="W27" s="222"/>
      <c r="X27" s="222"/>
      <c r="Y27" s="222"/>
      <c r="Z27" s="222"/>
      <c r="AA27" s="222"/>
      <c r="AB27" s="222"/>
      <c r="AC27" s="222"/>
      <c r="AD27" s="222"/>
      <c r="AE27" s="222"/>
      <c r="AF27" s="222"/>
      <c r="AG27" s="222"/>
      <c r="AH27" s="222"/>
      <c r="AI27" s="222"/>
      <c r="AJ27" s="222"/>
    </row>
    <row r="28" spans="1:36" x14ac:dyDescent="0.2">
      <c r="A28" s="222"/>
      <c r="B28" s="222"/>
      <c r="C28" s="222"/>
      <c r="D28" s="222"/>
      <c r="E28" s="222"/>
      <c r="F28" s="222"/>
      <c r="G28" s="222"/>
      <c r="H28" s="222"/>
      <c r="I28" s="222"/>
      <c r="J28" s="222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  <c r="AD28" s="222"/>
      <c r="AE28" s="222"/>
      <c r="AF28" s="222"/>
      <c r="AG28" s="222"/>
      <c r="AH28" s="222"/>
      <c r="AI28" s="222"/>
      <c r="AJ28" s="222"/>
    </row>
    <row r="29" spans="1:36" x14ac:dyDescent="0.2">
      <c r="A29" s="222"/>
      <c r="B29" s="222"/>
      <c r="C29" s="222"/>
      <c r="D29" s="222"/>
      <c r="E29" s="222"/>
      <c r="F29" s="222"/>
      <c r="G29" s="222"/>
      <c r="H29" s="22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</row>
    <row r="30" spans="1:36" x14ac:dyDescent="0.2">
      <c r="A30" s="222"/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</row>
    <row r="31" spans="1:36" x14ac:dyDescent="0.2">
      <c r="A31" s="222"/>
      <c r="B31" s="222"/>
      <c r="C31" s="222"/>
      <c r="D31" s="222"/>
      <c r="E31" s="222"/>
      <c r="F31" s="222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</row>
    <row r="32" spans="1:36" x14ac:dyDescent="0.2">
      <c r="A32" s="222"/>
      <c r="B32" s="222"/>
      <c r="C32" s="222"/>
      <c r="D32" s="222"/>
      <c r="E32" s="222"/>
      <c r="F32" s="222"/>
      <c r="G32" s="222"/>
      <c r="H32" s="222"/>
      <c r="I32" s="222"/>
      <c r="J32" s="222"/>
      <c r="K32" s="222"/>
      <c r="L32" s="222"/>
      <c r="M32" s="222"/>
      <c r="N32" s="222"/>
      <c r="O32" s="222"/>
      <c r="P32" s="222"/>
      <c r="Q32" s="222"/>
      <c r="R32" s="222"/>
      <c r="S32" s="222"/>
      <c r="T32" s="222"/>
      <c r="U32" s="222"/>
      <c r="V32" s="222"/>
      <c r="W32" s="222"/>
      <c r="X32" s="222"/>
      <c r="Y32" s="222"/>
      <c r="Z32" s="222"/>
      <c r="AA32" s="222"/>
      <c r="AB32" s="222"/>
      <c r="AC32" s="222"/>
      <c r="AD32" s="222"/>
      <c r="AE32" s="222"/>
      <c r="AF32" s="222"/>
      <c r="AG32" s="222"/>
      <c r="AH32" s="222"/>
      <c r="AI32" s="222"/>
      <c r="AJ32" s="222"/>
    </row>
    <row r="33" spans="1:36" x14ac:dyDescent="0.2">
      <c r="A33" s="222"/>
      <c r="B33" s="222"/>
      <c r="C33" s="222"/>
      <c r="D33" s="222"/>
      <c r="E33" s="222"/>
      <c r="F33" s="222"/>
      <c r="G33" s="222"/>
      <c r="H33" s="222"/>
      <c r="I33" s="222"/>
      <c r="J33" s="222"/>
      <c r="K33" s="222"/>
      <c r="L33" s="222"/>
      <c r="M33" s="222"/>
      <c r="N33" s="222"/>
      <c r="O33" s="222"/>
      <c r="P33" s="222"/>
      <c r="Q33" s="222"/>
      <c r="R33" s="222"/>
      <c r="S33" s="222"/>
      <c r="T33" s="222"/>
      <c r="U33" s="222"/>
      <c r="V33" s="222"/>
      <c r="W33" s="222"/>
      <c r="X33" s="222"/>
      <c r="Y33" s="222"/>
      <c r="Z33" s="222"/>
      <c r="AA33" s="222"/>
      <c r="AB33" s="222"/>
      <c r="AC33" s="222"/>
      <c r="AD33" s="222"/>
      <c r="AE33" s="222"/>
      <c r="AF33" s="222"/>
      <c r="AG33" s="222"/>
      <c r="AH33" s="222"/>
      <c r="AI33" s="222"/>
      <c r="AJ33" s="222"/>
    </row>
    <row r="34" spans="1:36" x14ac:dyDescent="0.2">
      <c r="A34" s="222"/>
      <c r="B34" s="222"/>
      <c r="C34" s="222"/>
      <c r="D34" s="222"/>
      <c r="E34" s="222"/>
      <c r="F34" s="222"/>
      <c r="G34" s="222"/>
      <c r="H34" s="222"/>
      <c r="I34" s="222"/>
      <c r="J34" s="222"/>
      <c r="K34" s="222"/>
      <c r="L34" s="222"/>
      <c r="M34" s="222"/>
      <c r="N34" s="222"/>
      <c r="O34" s="222"/>
      <c r="P34" s="222"/>
      <c r="Q34" s="222"/>
      <c r="R34" s="222"/>
      <c r="S34" s="222"/>
      <c r="T34" s="222"/>
      <c r="U34" s="222"/>
      <c r="V34" s="222"/>
      <c r="W34" s="222"/>
      <c r="X34" s="222"/>
      <c r="Y34" s="222"/>
      <c r="Z34" s="222"/>
      <c r="AA34" s="222"/>
      <c r="AB34" s="222"/>
      <c r="AC34" s="222"/>
      <c r="AD34" s="222"/>
      <c r="AE34" s="222"/>
      <c r="AF34" s="222"/>
      <c r="AG34" s="222"/>
      <c r="AH34" s="222"/>
      <c r="AI34" s="222"/>
      <c r="AJ34" s="222"/>
    </row>
    <row r="35" spans="1:36" x14ac:dyDescent="0.2">
      <c r="A35" s="222"/>
      <c r="B35" s="222"/>
      <c r="C35" s="222"/>
      <c r="D35" s="222"/>
      <c r="E35" s="222"/>
      <c r="F35" s="222"/>
      <c r="G35" s="222"/>
      <c r="H35" s="222"/>
      <c r="I35" s="222"/>
      <c r="J35" s="222"/>
      <c r="K35" s="222"/>
      <c r="L35" s="222"/>
      <c r="M35" s="222"/>
      <c r="N35" s="222"/>
      <c r="O35" s="222"/>
      <c r="P35" s="222"/>
      <c r="Q35" s="222"/>
      <c r="R35" s="222"/>
      <c r="S35" s="222"/>
      <c r="T35" s="222"/>
      <c r="U35" s="222"/>
      <c r="V35" s="222"/>
      <c r="W35" s="222"/>
      <c r="X35" s="222"/>
      <c r="Y35" s="222"/>
      <c r="Z35" s="222"/>
      <c r="AA35" s="222"/>
      <c r="AB35" s="222"/>
      <c r="AC35" s="222"/>
      <c r="AD35" s="222"/>
      <c r="AE35" s="222"/>
      <c r="AF35" s="222"/>
      <c r="AG35" s="222"/>
      <c r="AH35" s="222"/>
      <c r="AI35" s="222"/>
      <c r="AJ35" s="222"/>
    </row>
    <row r="36" spans="1:36" x14ac:dyDescent="0.2">
      <c r="A36" s="222"/>
      <c r="B36" s="222"/>
      <c r="C36" s="222"/>
      <c r="D36" s="222"/>
      <c r="E36" s="222"/>
      <c r="F36" s="222"/>
      <c r="G36" s="222"/>
      <c r="H36" s="222"/>
      <c r="I36" s="222"/>
      <c r="J36" s="222"/>
      <c r="K36" s="222"/>
      <c r="L36" s="222"/>
      <c r="M36" s="222"/>
      <c r="N36" s="222"/>
      <c r="O36" s="222"/>
      <c r="P36" s="222"/>
      <c r="Q36" s="222"/>
      <c r="R36" s="222"/>
      <c r="S36" s="222"/>
      <c r="T36" s="222"/>
      <c r="U36" s="222"/>
      <c r="V36" s="222"/>
      <c r="W36" s="222"/>
      <c r="X36" s="222"/>
      <c r="Y36" s="222"/>
      <c r="Z36" s="222"/>
      <c r="AA36" s="222"/>
      <c r="AB36" s="222"/>
      <c r="AC36" s="222"/>
      <c r="AD36" s="222"/>
      <c r="AE36" s="222"/>
      <c r="AF36" s="222"/>
      <c r="AG36" s="222"/>
      <c r="AH36" s="222"/>
      <c r="AI36" s="222"/>
      <c r="AJ36" s="222"/>
    </row>
    <row r="37" spans="1:36" x14ac:dyDescent="0.2">
      <c r="A37" s="222"/>
      <c r="B37" s="222"/>
      <c r="C37" s="222"/>
      <c r="D37" s="222"/>
      <c r="E37" s="222"/>
      <c r="F37" s="222"/>
      <c r="G37" s="222"/>
      <c r="H37" s="222"/>
      <c r="I37" s="222"/>
      <c r="J37" s="222"/>
      <c r="K37" s="222"/>
      <c r="L37" s="222"/>
      <c r="M37" s="222"/>
      <c r="N37" s="222"/>
      <c r="O37" s="222"/>
      <c r="P37" s="222"/>
      <c r="Q37" s="222"/>
      <c r="R37" s="222"/>
      <c r="S37" s="222"/>
      <c r="T37" s="222"/>
      <c r="U37" s="222"/>
      <c r="V37" s="222"/>
      <c r="W37" s="222"/>
      <c r="X37" s="222"/>
      <c r="Y37" s="222"/>
      <c r="Z37" s="222"/>
      <c r="AA37" s="222"/>
      <c r="AB37" s="222"/>
      <c r="AC37" s="222"/>
      <c r="AD37" s="222"/>
      <c r="AE37" s="222"/>
      <c r="AF37" s="222"/>
      <c r="AG37" s="222"/>
      <c r="AH37" s="222"/>
      <c r="AI37" s="222"/>
      <c r="AJ37" s="222"/>
    </row>
    <row r="38" spans="1:36" x14ac:dyDescent="0.2">
      <c r="A38" s="222"/>
      <c r="B38" s="222"/>
      <c r="C38" s="222"/>
      <c r="D38" s="222"/>
      <c r="E38" s="222"/>
      <c r="F38" s="222"/>
      <c r="G38" s="222"/>
      <c r="H38" s="222"/>
      <c r="I38" s="222"/>
      <c r="J38" s="222"/>
      <c r="K38" s="222"/>
      <c r="L38" s="222"/>
      <c r="M38" s="222"/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222"/>
      <c r="AA38" s="222"/>
      <c r="AB38" s="222"/>
      <c r="AC38" s="222"/>
      <c r="AD38" s="222"/>
      <c r="AE38" s="222"/>
      <c r="AF38" s="222"/>
      <c r="AG38" s="222"/>
      <c r="AH38" s="222"/>
      <c r="AI38" s="222"/>
      <c r="AJ38" s="222"/>
    </row>
    <row r="39" spans="1:36" x14ac:dyDescent="0.2">
      <c r="A39" s="222"/>
      <c r="B39" s="222"/>
      <c r="C39" s="222"/>
      <c r="D39" s="222"/>
      <c r="E39" s="222"/>
      <c r="F39" s="222"/>
      <c r="G39" s="222"/>
      <c r="H39" s="222"/>
      <c r="I39" s="222"/>
      <c r="J39" s="222"/>
      <c r="K39" s="222"/>
      <c r="L39" s="222"/>
      <c r="M39" s="222"/>
      <c r="N39" s="222"/>
      <c r="O39" s="222"/>
      <c r="P39" s="222"/>
      <c r="Q39" s="222"/>
      <c r="R39" s="222"/>
      <c r="S39" s="222"/>
      <c r="T39" s="222"/>
      <c r="U39" s="222"/>
      <c r="V39" s="222"/>
      <c r="W39" s="222"/>
      <c r="X39" s="222"/>
      <c r="Y39" s="222"/>
      <c r="Z39" s="222"/>
      <c r="AA39" s="222"/>
      <c r="AB39" s="222"/>
      <c r="AC39" s="222"/>
      <c r="AD39" s="222"/>
      <c r="AE39" s="222"/>
      <c r="AF39" s="222"/>
      <c r="AG39" s="222"/>
      <c r="AH39" s="222"/>
      <c r="AI39" s="222"/>
      <c r="AJ39" s="222"/>
    </row>
    <row r="40" spans="1:36" x14ac:dyDescent="0.2">
      <c r="A40" s="222"/>
      <c r="B40" s="222"/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  <c r="O40" s="222"/>
      <c r="P40" s="222"/>
      <c r="Q40" s="222"/>
      <c r="R40" s="222"/>
      <c r="S40" s="222"/>
      <c r="T40" s="222"/>
      <c r="U40" s="222"/>
      <c r="V40" s="222"/>
      <c r="W40" s="222"/>
      <c r="X40" s="222"/>
      <c r="Y40" s="222"/>
      <c r="Z40" s="222"/>
      <c r="AA40" s="222"/>
      <c r="AB40" s="222"/>
      <c r="AC40" s="222"/>
      <c r="AD40" s="222"/>
      <c r="AE40" s="222"/>
      <c r="AF40" s="222"/>
      <c r="AG40" s="222"/>
      <c r="AH40" s="222"/>
      <c r="AI40" s="222"/>
      <c r="AJ40" s="222"/>
    </row>
    <row r="41" spans="1:36" x14ac:dyDescent="0.2">
      <c r="A41" s="222"/>
      <c r="B41" s="222"/>
      <c r="C41" s="222"/>
      <c r="D41" s="222"/>
      <c r="E41" s="222"/>
      <c r="F41" s="222"/>
      <c r="G41" s="222"/>
      <c r="H41" s="222"/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222"/>
      <c r="AA41" s="222"/>
      <c r="AB41" s="222"/>
      <c r="AC41" s="222"/>
      <c r="AD41" s="222"/>
      <c r="AE41" s="222"/>
      <c r="AF41" s="222"/>
      <c r="AG41" s="222"/>
      <c r="AH41" s="222"/>
      <c r="AI41" s="222"/>
      <c r="AJ41" s="222"/>
    </row>
    <row r="42" spans="1:36" x14ac:dyDescent="0.2">
      <c r="A42" s="222"/>
      <c r="B42" s="222"/>
      <c r="C42" s="222"/>
      <c r="D42" s="222"/>
      <c r="E42" s="222"/>
      <c r="F42" s="222"/>
      <c r="G42" s="222"/>
      <c r="H42" s="222"/>
      <c r="I42" s="222"/>
      <c r="J42" s="222"/>
      <c r="K42" s="222"/>
      <c r="L42" s="222"/>
      <c r="M42" s="222"/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  <c r="Z42" s="222"/>
      <c r="AA42" s="222"/>
      <c r="AB42" s="222"/>
      <c r="AC42" s="222"/>
      <c r="AD42" s="222"/>
      <c r="AE42" s="222"/>
      <c r="AF42" s="222"/>
      <c r="AG42" s="222"/>
      <c r="AH42" s="222"/>
      <c r="AI42" s="222"/>
      <c r="AJ42" s="222"/>
    </row>
    <row r="43" spans="1:36" x14ac:dyDescent="0.2">
      <c r="A43" s="222"/>
      <c r="B43" s="222"/>
      <c r="C43" s="222"/>
      <c r="D43" s="222"/>
      <c r="E43" s="222"/>
      <c r="F43" s="222"/>
      <c r="G43" s="222"/>
      <c r="H43" s="222"/>
      <c r="I43" s="222"/>
      <c r="J43" s="222"/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  <c r="Z43" s="222"/>
      <c r="AA43" s="222"/>
      <c r="AB43" s="222"/>
      <c r="AC43" s="222"/>
      <c r="AD43" s="222"/>
      <c r="AE43" s="222"/>
      <c r="AF43" s="222"/>
      <c r="AG43" s="222"/>
      <c r="AH43" s="222"/>
      <c r="AI43" s="222"/>
      <c r="AJ43" s="222"/>
    </row>
    <row r="44" spans="1:36" x14ac:dyDescent="0.2">
      <c r="A44" s="222"/>
      <c r="B44" s="222"/>
      <c r="C44" s="222"/>
      <c r="D44" s="222"/>
      <c r="E44" s="222"/>
      <c r="F44" s="222"/>
      <c r="G44" s="222"/>
      <c r="H44" s="222"/>
      <c r="I44" s="222"/>
      <c r="J44" s="222"/>
      <c r="K44" s="222"/>
      <c r="L44" s="222"/>
      <c r="M44" s="222"/>
      <c r="N44" s="222"/>
      <c r="O44" s="222"/>
      <c r="P44" s="222"/>
      <c r="Q44" s="222"/>
      <c r="R44" s="222"/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J44" s="222"/>
    </row>
    <row r="45" spans="1:36" x14ac:dyDescent="0.2">
      <c r="A45" s="222"/>
      <c r="B45" s="222"/>
      <c r="C45" s="222"/>
      <c r="D45" s="222"/>
      <c r="E45" s="222"/>
      <c r="F45" s="222"/>
      <c r="G45" s="222"/>
      <c r="H45" s="222"/>
      <c r="I45" s="222"/>
      <c r="J45" s="222"/>
      <c r="K45" s="222"/>
      <c r="L45" s="222"/>
      <c r="M45" s="222"/>
      <c r="N45" s="222"/>
      <c r="O45" s="222"/>
      <c r="P45" s="222"/>
      <c r="Q45" s="222"/>
      <c r="R45" s="222"/>
      <c r="S45" s="222"/>
      <c r="T45" s="222"/>
      <c r="U45" s="222"/>
      <c r="V45" s="222"/>
      <c r="W45" s="222"/>
      <c r="X45" s="222"/>
      <c r="Y45" s="222"/>
      <c r="Z45" s="222"/>
      <c r="AA45" s="222"/>
      <c r="AB45" s="222"/>
      <c r="AC45" s="222"/>
      <c r="AD45" s="222"/>
      <c r="AE45" s="222"/>
      <c r="AF45" s="222"/>
      <c r="AG45" s="222"/>
      <c r="AH45" s="222"/>
      <c r="AI45" s="222"/>
      <c r="AJ45" s="222"/>
    </row>
    <row r="46" spans="1:36" x14ac:dyDescent="0.2">
      <c r="A46" s="222"/>
      <c r="B46" s="222"/>
      <c r="C46" s="222"/>
      <c r="D46" s="222"/>
      <c r="E46" s="222"/>
      <c r="F46" s="222"/>
      <c r="G46" s="222"/>
      <c r="H46" s="222"/>
      <c r="I46" s="222"/>
      <c r="J46" s="222"/>
      <c r="K46" s="222"/>
      <c r="L46" s="222"/>
      <c r="M46" s="222"/>
      <c r="N46" s="222"/>
      <c r="O46" s="222"/>
      <c r="P46" s="222"/>
      <c r="Q46" s="222"/>
      <c r="R46" s="222"/>
      <c r="S46" s="222"/>
      <c r="T46" s="222"/>
      <c r="U46" s="222"/>
      <c r="V46" s="222"/>
      <c r="W46" s="222"/>
      <c r="X46" s="222"/>
      <c r="Y46" s="222"/>
      <c r="Z46" s="222"/>
      <c r="AA46" s="222"/>
      <c r="AB46" s="222"/>
      <c r="AC46" s="222"/>
      <c r="AD46" s="222"/>
      <c r="AE46" s="222"/>
      <c r="AF46" s="222"/>
      <c r="AG46" s="222"/>
      <c r="AH46" s="222"/>
      <c r="AI46" s="222"/>
      <c r="AJ46" s="222"/>
    </row>
    <row r="47" spans="1:36" x14ac:dyDescent="0.2">
      <c r="A47" s="222"/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22"/>
      <c r="X47" s="222"/>
      <c r="Y47" s="222"/>
      <c r="Z47" s="222"/>
      <c r="AA47" s="222"/>
      <c r="AB47" s="222"/>
      <c r="AC47" s="222"/>
      <c r="AD47" s="222"/>
      <c r="AE47" s="222"/>
      <c r="AF47" s="222"/>
      <c r="AG47" s="222"/>
      <c r="AH47" s="222"/>
      <c r="AI47" s="222"/>
      <c r="AJ47" s="222"/>
    </row>
    <row r="48" spans="1:36" x14ac:dyDescent="0.2">
      <c r="A48" s="222"/>
      <c r="B48" s="222"/>
      <c r="C48" s="222"/>
      <c r="D48" s="222"/>
      <c r="E48" s="222"/>
      <c r="F48" s="222"/>
      <c r="G48" s="222"/>
      <c r="H48" s="222"/>
      <c r="I48" s="222"/>
      <c r="J48" s="222"/>
      <c r="K48" s="222"/>
      <c r="L48" s="222"/>
      <c r="M48" s="222"/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</row>
    <row r="49" spans="1:36" x14ac:dyDescent="0.2">
      <c r="A49" s="222"/>
      <c r="B49" s="222"/>
      <c r="C49" s="222"/>
      <c r="D49" s="222"/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  <c r="P49" s="222"/>
      <c r="Q49" s="222"/>
      <c r="R49" s="222"/>
      <c r="S49" s="222"/>
      <c r="T49" s="222"/>
      <c r="U49" s="222"/>
      <c r="V49" s="222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</row>
    <row r="50" spans="1:36" x14ac:dyDescent="0.2">
      <c r="A50" s="222"/>
      <c r="B50" s="222"/>
      <c r="C50" s="222"/>
      <c r="D50" s="222"/>
      <c r="E50" s="222"/>
      <c r="F50" s="222"/>
      <c r="G50" s="222"/>
      <c r="H50" s="222"/>
      <c r="I50" s="222"/>
      <c r="J50" s="222"/>
      <c r="K50" s="222"/>
      <c r="L50" s="222"/>
      <c r="M50" s="222"/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</row>
    <row r="51" spans="1:36" x14ac:dyDescent="0.2">
      <c r="A51" s="222"/>
      <c r="B51" s="222"/>
      <c r="C51" s="222"/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/>
      <c r="R51" s="222"/>
      <c r="S51" s="222"/>
      <c r="T51" s="222"/>
      <c r="U51" s="222"/>
      <c r="V51" s="222"/>
      <c r="W51" s="222"/>
      <c r="X51" s="222"/>
      <c r="Y51" s="222"/>
      <c r="Z51" s="222"/>
      <c r="AA51" s="222"/>
      <c r="AB51" s="222"/>
      <c r="AC51" s="222"/>
      <c r="AD51" s="222"/>
      <c r="AE51" s="222"/>
      <c r="AF51" s="222"/>
      <c r="AG51" s="222"/>
      <c r="AH51" s="222"/>
      <c r="AI51" s="222"/>
      <c r="AJ51" s="222"/>
    </row>
    <row r="52" spans="1:36" x14ac:dyDescent="0.2">
      <c r="A52" s="222"/>
      <c r="B52" s="222"/>
      <c r="C52" s="222"/>
      <c r="D52" s="222"/>
      <c r="E52" s="222"/>
      <c r="F52" s="222"/>
      <c r="G52" s="222"/>
      <c r="H52" s="222"/>
      <c r="I52" s="222"/>
      <c r="J52" s="222"/>
      <c r="K52" s="222"/>
      <c r="L52" s="222"/>
      <c r="M52" s="222"/>
      <c r="N52" s="222"/>
      <c r="O52" s="222"/>
      <c r="P52" s="222"/>
      <c r="Q52" s="222"/>
      <c r="R52" s="222"/>
      <c r="S52" s="222"/>
      <c r="T52" s="222"/>
      <c r="U52" s="222"/>
      <c r="V52" s="222"/>
      <c r="W52" s="222"/>
      <c r="X52" s="222"/>
      <c r="Y52" s="222"/>
      <c r="Z52" s="222"/>
      <c r="AA52" s="222"/>
      <c r="AB52" s="222"/>
      <c r="AC52" s="222"/>
      <c r="AD52" s="222"/>
      <c r="AE52" s="222"/>
      <c r="AF52" s="222"/>
      <c r="AG52" s="222"/>
      <c r="AH52" s="222"/>
      <c r="AI52" s="222"/>
      <c r="AJ52" s="222"/>
    </row>
    <row r="53" spans="1:36" x14ac:dyDescent="0.2">
      <c r="A53" s="222"/>
      <c r="B53" s="222"/>
      <c r="C53" s="222"/>
      <c r="D53" s="222"/>
      <c r="E53" s="222"/>
      <c r="F53" s="222"/>
      <c r="G53" s="222"/>
      <c r="H53" s="222"/>
      <c r="I53" s="222"/>
      <c r="J53" s="222"/>
      <c r="K53" s="222"/>
      <c r="L53" s="222"/>
      <c r="M53" s="222"/>
      <c r="N53" s="222"/>
      <c r="O53" s="222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2"/>
      <c r="AC53" s="222"/>
      <c r="AD53" s="222"/>
      <c r="AE53" s="222"/>
      <c r="AF53" s="222"/>
      <c r="AG53" s="222"/>
      <c r="AH53" s="222"/>
      <c r="AI53" s="222"/>
      <c r="AJ53" s="222"/>
    </row>
    <row r="54" spans="1:36" x14ac:dyDescent="0.2">
      <c r="A54" s="222"/>
      <c r="B54" s="222"/>
      <c r="C54" s="222"/>
      <c r="D54" s="222"/>
      <c r="E54" s="222"/>
      <c r="F54" s="222"/>
      <c r="G54" s="222"/>
      <c r="H54" s="222"/>
      <c r="I54" s="222"/>
      <c r="J54" s="222"/>
      <c r="K54" s="222"/>
      <c r="L54" s="222"/>
      <c r="M54" s="222"/>
      <c r="N54" s="222"/>
      <c r="O54" s="222"/>
      <c r="P54" s="222"/>
      <c r="Q54" s="222"/>
      <c r="R54" s="222"/>
      <c r="S54" s="222"/>
      <c r="T54" s="222"/>
      <c r="U54" s="222"/>
      <c r="V54" s="222"/>
      <c r="W54" s="222"/>
      <c r="X54" s="222"/>
      <c r="Y54" s="222"/>
      <c r="Z54" s="222"/>
      <c r="AA54" s="222"/>
      <c r="AB54" s="222"/>
      <c r="AC54" s="222"/>
      <c r="AD54" s="222"/>
      <c r="AE54" s="222"/>
      <c r="AF54" s="222"/>
      <c r="AG54" s="222"/>
      <c r="AH54" s="222"/>
      <c r="AI54" s="222"/>
      <c r="AJ54" s="222"/>
    </row>
    <row r="55" spans="1:36" x14ac:dyDescent="0.2">
      <c r="A55" s="222"/>
      <c r="B55" s="222"/>
      <c r="C55" s="222"/>
      <c r="D55" s="222"/>
      <c r="E55" s="222"/>
      <c r="F55" s="222"/>
      <c r="G55" s="222"/>
      <c r="H55" s="222"/>
      <c r="I55" s="222"/>
      <c r="J55" s="222"/>
      <c r="K55" s="222"/>
      <c r="L55" s="222"/>
      <c r="M55" s="222"/>
      <c r="N55" s="222"/>
      <c r="O55" s="222"/>
      <c r="P55" s="222"/>
      <c r="Q55" s="222"/>
      <c r="R55" s="222"/>
      <c r="S55" s="222"/>
      <c r="T55" s="222"/>
      <c r="U55" s="222"/>
      <c r="V55" s="222"/>
      <c r="W55" s="222"/>
      <c r="X55" s="222"/>
      <c r="Y55" s="222"/>
      <c r="Z55" s="222"/>
      <c r="AA55" s="222"/>
      <c r="AB55" s="222"/>
      <c r="AC55" s="222"/>
      <c r="AD55" s="222"/>
      <c r="AE55" s="222"/>
      <c r="AF55" s="222"/>
      <c r="AG55" s="222"/>
      <c r="AH55" s="222"/>
      <c r="AI55" s="222"/>
      <c r="AJ55" s="222"/>
    </row>
    <row r="56" spans="1:36" x14ac:dyDescent="0.2">
      <c r="A56" s="222"/>
      <c r="B56" s="222"/>
      <c r="C56" s="222"/>
      <c r="D56" s="222"/>
      <c r="E56" s="222"/>
      <c r="F56" s="222"/>
      <c r="G56" s="222"/>
      <c r="H56" s="222"/>
      <c r="I56" s="222"/>
      <c r="J56" s="222"/>
      <c r="K56" s="222"/>
      <c r="L56" s="222"/>
      <c r="M56" s="222"/>
      <c r="N56" s="222"/>
      <c r="O56" s="222"/>
      <c r="P56" s="222"/>
      <c r="Q56" s="222"/>
      <c r="R56" s="222"/>
      <c r="S56" s="222"/>
      <c r="T56" s="222"/>
      <c r="U56" s="222"/>
      <c r="V56" s="222"/>
      <c r="W56" s="222"/>
      <c r="X56" s="222"/>
      <c r="Y56" s="222"/>
      <c r="Z56" s="222"/>
      <c r="AA56" s="222"/>
      <c r="AB56" s="222"/>
      <c r="AC56" s="222"/>
      <c r="AD56" s="222"/>
      <c r="AE56" s="222"/>
      <c r="AF56" s="222"/>
      <c r="AG56" s="222"/>
      <c r="AH56" s="222"/>
      <c r="AI56" s="222"/>
      <c r="AJ56" s="222"/>
    </row>
    <row r="57" spans="1:36" x14ac:dyDescent="0.2">
      <c r="A57" s="222"/>
      <c r="B57" s="222"/>
      <c r="C57" s="222"/>
      <c r="D57" s="222"/>
      <c r="E57" s="222"/>
      <c r="F57" s="222"/>
      <c r="G57" s="222"/>
      <c r="H57" s="222"/>
      <c r="I57" s="222"/>
      <c r="J57" s="222"/>
      <c r="K57" s="222"/>
      <c r="L57" s="222"/>
      <c r="M57" s="222"/>
      <c r="N57" s="222"/>
      <c r="O57" s="222"/>
      <c r="P57" s="222"/>
      <c r="Q57" s="222"/>
      <c r="R57" s="222"/>
      <c r="S57" s="222"/>
      <c r="T57" s="222"/>
      <c r="U57" s="222"/>
      <c r="V57" s="222"/>
      <c r="W57" s="222"/>
      <c r="X57" s="222"/>
      <c r="Y57" s="222"/>
      <c r="Z57" s="222"/>
      <c r="AA57" s="222"/>
      <c r="AB57" s="222"/>
      <c r="AC57" s="222"/>
      <c r="AD57" s="222"/>
      <c r="AE57" s="222"/>
      <c r="AF57" s="222"/>
      <c r="AG57" s="222"/>
      <c r="AH57" s="222"/>
      <c r="AI57" s="222"/>
      <c r="AJ57" s="222"/>
    </row>
    <row r="58" spans="1:36" x14ac:dyDescent="0.2">
      <c r="A58" s="222"/>
      <c r="B58" s="222"/>
      <c r="C58" s="222"/>
      <c r="D58" s="222"/>
      <c r="E58" s="222"/>
      <c r="F58" s="222"/>
      <c r="G58" s="222"/>
      <c r="H58" s="222"/>
      <c r="I58" s="222"/>
      <c r="J58" s="222"/>
      <c r="K58" s="222"/>
      <c r="L58" s="222"/>
      <c r="M58" s="222"/>
      <c r="N58" s="222"/>
      <c r="O58" s="222"/>
      <c r="P58" s="222"/>
      <c r="Q58" s="222"/>
      <c r="R58" s="222"/>
      <c r="S58" s="222"/>
      <c r="T58" s="222"/>
      <c r="U58" s="222"/>
      <c r="V58" s="222"/>
      <c r="W58" s="222"/>
      <c r="X58" s="222"/>
      <c r="Y58" s="222"/>
      <c r="Z58" s="222"/>
      <c r="AA58" s="222"/>
      <c r="AB58" s="222"/>
      <c r="AC58" s="222"/>
      <c r="AD58" s="222"/>
      <c r="AE58" s="222"/>
      <c r="AF58" s="222"/>
      <c r="AG58" s="222"/>
      <c r="AH58" s="222"/>
      <c r="AI58" s="222"/>
      <c r="AJ58" s="222"/>
    </row>
    <row r="59" spans="1:36" x14ac:dyDescent="0.2">
      <c r="A59" s="222"/>
      <c r="B59" s="222"/>
      <c r="C59" s="222"/>
      <c r="D59" s="222"/>
      <c r="E59" s="222"/>
      <c r="F59" s="222"/>
      <c r="G59" s="222"/>
      <c r="H59" s="222"/>
      <c r="I59" s="222"/>
      <c r="J59" s="222"/>
      <c r="K59" s="222"/>
      <c r="L59" s="222"/>
      <c r="M59" s="222"/>
      <c r="N59" s="222"/>
      <c r="O59" s="222"/>
      <c r="P59" s="222"/>
      <c r="Q59" s="222"/>
      <c r="R59" s="222"/>
      <c r="S59" s="222"/>
      <c r="T59" s="222"/>
      <c r="U59" s="222"/>
      <c r="V59" s="222"/>
      <c r="W59" s="222"/>
      <c r="X59" s="222"/>
      <c r="Y59" s="222"/>
      <c r="Z59" s="222"/>
      <c r="AA59" s="222"/>
      <c r="AB59" s="222"/>
      <c r="AC59" s="222"/>
      <c r="AD59" s="222"/>
      <c r="AE59" s="222"/>
      <c r="AF59" s="222"/>
      <c r="AG59" s="222"/>
      <c r="AH59" s="222"/>
      <c r="AI59" s="222"/>
      <c r="AJ59" s="222"/>
    </row>
    <row r="60" spans="1:36" x14ac:dyDescent="0.2">
      <c r="A60" s="222"/>
      <c r="B60" s="222"/>
      <c r="C60" s="222"/>
      <c r="D60" s="222"/>
      <c r="E60" s="222"/>
      <c r="F60" s="222"/>
      <c r="G60" s="222"/>
      <c r="H60" s="222"/>
      <c r="I60" s="222"/>
      <c r="J60" s="222"/>
      <c r="K60" s="222"/>
      <c r="L60" s="222"/>
      <c r="M60" s="222"/>
      <c r="N60" s="222"/>
      <c r="O60" s="222"/>
      <c r="P60" s="222"/>
      <c r="Q60" s="222"/>
      <c r="R60" s="222"/>
      <c r="S60" s="222"/>
      <c r="T60" s="222"/>
      <c r="U60" s="222"/>
      <c r="V60" s="222"/>
      <c r="W60" s="222"/>
      <c r="X60" s="222"/>
      <c r="Y60" s="222"/>
      <c r="Z60" s="222"/>
      <c r="AA60" s="222"/>
      <c r="AB60" s="222"/>
      <c r="AC60" s="222"/>
      <c r="AD60" s="222"/>
      <c r="AE60" s="222"/>
      <c r="AF60" s="222"/>
      <c r="AG60" s="222"/>
      <c r="AH60" s="222"/>
      <c r="AI60" s="222"/>
      <c r="AJ60" s="222"/>
    </row>
    <row r="61" spans="1:36" x14ac:dyDescent="0.2">
      <c r="A61" s="222"/>
      <c r="B61" s="222"/>
      <c r="C61" s="222"/>
      <c r="D61" s="222"/>
      <c r="E61" s="222"/>
      <c r="F61" s="222"/>
      <c r="G61" s="222"/>
      <c r="H61" s="222"/>
      <c r="I61" s="222"/>
      <c r="J61" s="222"/>
      <c r="K61" s="222"/>
      <c r="L61" s="222"/>
      <c r="M61" s="222"/>
      <c r="N61" s="222"/>
      <c r="O61" s="222"/>
      <c r="P61" s="222"/>
      <c r="Q61" s="222"/>
      <c r="R61" s="222"/>
      <c r="S61" s="222"/>
      <c r="T61" s="222"/>
      <c r="U61" s="222"/>
      <c r="V61" s="222"/>
      <c r="W61" s="222"/>
      <c r="X61" s="222"/>
      <c r="Y61" s="222"/>
      <c r="Z61" s="222"/>
      <c r="AA61" s="222"/>
      <c r="AB61" s="222"/>
      <c r="AC61" s="222"/>
      <c r="AD61" s="222"/>
      <c r="AE61" s="222"/>
      <c r="AF61" s="222"/>
      <c r="AG61" s="222"/>
      <c r="AH61" s="222"/>
      <c r="AI61" s="222"/>
      <c r="AJ61" s="222"/>
    </row>
    <row r="62" spans="1:36" x14ac:dyDescent="0.2">
      <c r="A62" s="222"/>
      <c r="B62" s="222"/>
      <c r="C62" s="222"/>
      <c r="D62" s="222"/>
      <c r="E62" s="222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222"/>
      <c r="W62" s="222"/>
      <c r="X62" s="222"/>
      <c r="Y62" s="222"/>
      <c r="Z62" s="222"/>
      <c r="AA62" s="222"/>
      <c r="AB62" s="222"/>
      <c r="AC62" s="222"/>
      <c r="AD62" s="222"/>
      <c r="AE62" s="222"/>
      <c r="AF62" s="222"/>
      <c r="AG62" s="222"/>
      <c r="AH62" s="222"/>
      <c r="AI62" s="222"/>
      <c r="AJ62" s="222"/>
    </row>
    <row r="63" spans="1:36" x14ac:dyDescent="0.2">
      <c r="A63" s="222"/>
      <c r="B63" s="222"/>
      <c r="C63" s="222"/>
      <c r="D63" s="222"/>
      <c r="E63" s="222"/>
      <c r="F63" s="222"/>
      <c r="G63" s="222"/>
      <c r="H63" s="222"/>
      <c r="I63" s="222"/>
      <c r="J63" s="222"/>
      <c r="K63" s="222"/>
      <c r="L63" s="222"/>
      <c r="M63" s="222"/>
      <c r="N63" s="222"/>
      <c r="O63" s="222"/>
      <c r="P63" s="222"/>
      <c r="Q63" s="222"/>
      <c r="R63" s="222"/>
      <c r="S63" s="222"/>
      <c r="T63" s="222"/>
      <c r="U63" s="222"/>
      <c r="V63" s="222"/>
      <c r="W63" s="222"/>
      <c r="X63" s="222"/>
      <c r="Y63" s="222"/>
      <c r="Z63" s="222"/>
      <c r="AA63" s="222"/>
      <c r="AB63" s="222"/>
      <c r="AC63" s="222"/>
      <c r="AD63" s="222"/>
      <c r="AE63" s="222"/>
      <c r="AF63" s="222"/>
      <c r="AG63" s="222"/>
      <c r="AH63" s="222"/>
      <c r="AI63" s="222"/>
      <c r="AJ63" s="222"/>
    </row>
    <row r="64" spans="1:36" x14ac:dyDescent="0.2">
      <c r="A64" s="222"/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2"/>
      <c r="P64" s="222"/>
      <c r="Q64" s="222"/>
      <c r="R64" s="222"/>
      <c r="S64" s="222"/>
      <c r="T64" s="222"/>
      <c r="U64" s="222"/>
      <c r="V64" s="222"/>
      <c r="W64" s="222"/>
      <c r="X64" s="222"/>
      <c r="Y64" s="222"/>
      <c r="Z64" s="222"/>
      <c r="AA64" s="222"/>
      <c r="AB64" s="222"/>
      <c r="AC64" s="222"/>
      <c r="AD64" s="222"/>
      <c r="AE64" s="222"/>
      <c r="AF64" s="222"/>
      <c r="AG64" s="222"/>
      <c r="AH64" s="222"/>
      <c r="AI64" s="222"/>
      <c r="AJ64" s="222"/>
    </row>
    <row r="65" spans="1:36" x14ac:dyDescent="0.2">
      <c r="A65" s="222"/>
      <c r="B65" s="222"/>
      <c r="C65" s="222"/>
      <c r="D65" s="222"/>
      <c r="E65" s="222"/>
      <c r="F65" s="222"/>
      <c r="G65" s="222"/>
      <c r="H65" s="222"/>
      <c r="I65" s="222"/>
      <c r="J65" s="222"/>
      <c r="K65" s="222"/>
      <c r="L65" s="222"/>
      <c r="M65" s="222"/>
      <c r="N65" s="222"/>
      <c r="O65" s="222"/>
      <c r="P65" s="222"/>
      <c r="Q65" s="222"/>
      <c r="R65" s="222"/>
      <c r="S65" s="222"/>
      <c r="T65" s="222"/>
      <c r="U65" s="222"/>
      <c r="V65" s="222"/>
      <c r="W65" s="222"/>
      <c r="X65" s="222"/>
      <c r="Y65" s="222"/>
      <c r="Z65" s="222"/>
      <c r="AA65" s="222"/>
      <c r="AB65" s="222"/>
      <c r="AC65" s="222"/>
      <c r="AD65" s="222"/>
      <c r="AE65" s="222"/>
      <c r="AF65" s="222"/>
      <c r="AG65" s="222"/>
      <c r="AH65" s="222"/>
      <c r="AI65" s="222"/>
      <c r="AJ65" s="222"/>
    </row>
    <row r="66" spans="1:36" x14ac:dyDescent="0.2">
      <c r="A66" s="222"/>
      <c r="B66" s="222"/>
      <c r="C66" s="222"/>
      <c r="D66" s="222"/>
      <c r="E66" s="222"/>
      <c r="F66" s="222"/>
      <c r="G66" s="222"/>
      <c r="H66" s="222"/>
      <c r="I66" s="222"/>
      <c r="J66" s="222"/>
      <c r="K66" s="222"/>
      <c r="L66" s="222"/>
      <c r="M66" s="222"/>
      <c r="N66" s="222"/>
      <c r="O66" s="222"/>
      <c r="P66" s="222"/>
      <c r="Q66" s="222"/>
      <c r="R66" s="222"/>
      <c r="S66" s="222"/>
      <c r="T66" s="222"/>
      <c r="U66" s="222"/>
      <c r="V66" s="222"/>
      <c r="W66" s="222"/>
      <c r="X66" s="222"/>
      <c r="Y66" s="222"/>
      <c r="Z66" s="222"/>
      <c r="AA66" s="222"/>
      <c r="AB66" s="222"/>
      <c r="AC66" s="222"/>
      <c r="AD66" s="222"/>
      <c r="AE66" s="222"/>
      <c r="AF66" s="222"/>
      <c r="AG66" s="222"/>
      <c r="AH66" s="222"/>
      <c r="AI66" s="222"/>
      <c r="AJ66" s="222"/>
    </row>
    <row r="67" spans="1:36" x14ac:dyDescent="0.2">
      <c r="A67" s="222"/>
      <c r="B67" s="222"/>
      <c r="C67" s="222"/>
      <c r="D67" s="222"/>
      <c r="E67" s="222"/>
      <c r="F67" s="222"/>
      <c r="G67" s="222"/>
      <c r="H67" s="222"/>
      <c r="I67" s="222"/>
      <c r="J67" s="222"/>
      <c r="K67" s="222"/>
      <c r="L67" s="222"/>
      <c r="M67" s="222"/>
      <c r="N67" s="222"/>
      <c r="O67" s="222"/>
      <c r="P67" s="222"/>
      <c r="Q67" s="222"/>
      <c r="R67" s="222"/>
      <c r="S67" s="222"/>
      <c r="T67" s="222"/>
      <c r="U67" s="222"/>
      <c r="V67" s="222"/>
      <c r="W67" s="222"/>
      <c r="X67" s="222"/>
      <c r="Y67" s="222"/>
      <c r="Z67" s="222"/>
      <c r="AA67" s="222"/>
      <c r="AB67" s="222"/>
      <c r="AC67" s="222"/>
      <c r="AD67" s="222"/>
      <c r="AE67" s="222"/>
      <c r="AF67" s="222"/>
      <c r="AG67" s="222"/>
      <c r="AH67" s="222"/>
      <c r="AI67" s="222"/>
      <c r="AJ67" s="222"/>
    </row>
    <row r="68" spans="1:36" x14ac:dyDescent="0.2">
      <c r="A68" s="222"/>
      <c r="B68" s="222"/>
      <c r="C68" s="222"/>
      <c r="D68" s="222"/>
      <c r="E68" s="222"/>
      <c r="F68" s="222"/>
      <c r="G68" s="222"/>
      <c r="H68" s="222"/>
      <c r="I68" s="222"/>
      <c r="J68" s="222"/>
      <c r="K68" s="222"/>
      <c r="L68" s="222"/>
      <c r="M68" s="222"/>
      <c r="N68" s="222"/>
      <c r="O68" s="222"/>
      <c r="P68" s="222"/>
      <c r="Q68" s="222"/>
      <c r="R68" s="222"/>
      <c r="S68" s="222"/>
      <c r="T68" s="222"/>
      <c r="U68" s="222"/>
      <c r="V68" s="222"/>
      <c r="W68" s="222"/>
      <c r="X68" s="222"/>
      <c r="Y68" s="222"/>
      <c r="Z68" s="222"/>
      <c r="AA68" s="222"/>
      <c r="AB68" s="222"/>
      <c r="AC68" s="222"/>
      <c r="AD68" s="222"/>
      <c r="AE68" s="222"/>
      <c r="AF68" s="222"/>
      <c r="AG68" s="222"/>
      <c r="AH68" s="222"/>
      <c r="AI68" s="222"/>
      <c r="AJ68" s="222"/>
    </row>
    <row r="69" spans="1:36" x14ac:dyDescent="0.2">
      <c r="A69" s="222"/>
      <c r="B69" s="222"/>
      <c r="C69" s="222"/>
      <c r="D69" s="222"/>
      <c r="E69" s="222"/>
      <c r="F69" s="222"/>
      <c r="G69" s="222"/>
      <c r="H69" s="222"/>
      <c r="I69" s="222"/>
      <c r="J69" s="222"/>
      <c r="K69" s="222"/>
      <c r="L69" s="222"/>
      <c r="M69" s="222"/>
      <c r="N69" s="222"/>
      <c r="O69" s="222"/>
      <c r="P69" s="222"/>
      <c r="Q69" s="222"/>
      <c r="R69" s="222"/>
      <c r="S69" s="222"/>
      <c r="T69" s="222"/>
      <c r="U69" s="222"/>
      <c r="V69" s="222"/>
      <c r="W69" s="222"/>
      <c r="X69" s="222"/>
      <c r="Y69" s="222"/>
      <c r="Z69" s="222"/>
      <c r="AA69" s="222"/>
      <c r="AB69" s="222"/>
      <c r="AC69" s="222"/>
      <c r="AD69" s="222"/>
      <c r="AE69" s="222"/>
      <c r="AF69" s="222"/>
      <c r="AG69" s="222"/>
      <c r="AH69" s="222"/>
      <c r="AI69" s="222"/>
      <c r="AJ69" s="222"/>
    </row>
    <row r="70" spans="1:36" x14ac:dyDescent="0.2">
      <c r="A70" s="222"/>
      <c r="B70" s="222"/>
      <c r="C70" s="222"/>
      <c r="D70" s="222"/>
      <c r="E70" s="222"/>
      <c r="F70" s="222"/>
      <c r="G70" s="222"/>
      <c r="H70" s="222"/>
      <c r="I70" s="222"/>
      <c r="J70" s="222"/>
      <c r="K70" s="222"/>
      <c r="L70" s="222"/>
      <c r="M70" s="222"/>
      <c r="N70" s="222"/>
      <c r="O70" s="222"/>
      <c r="P70" s="222"/>
      <c r="Q70" s="222"/>
      <c r="R70" s="222"/>
      <c r="S70" s="222"/>
      <c r="T70" s="222"/>
      <c r="U70" s="222"/>
      <c r="V70" s="222"/>
      <c r="W70" s="222"/>
      <c r="X70" s="222"/>
      <c r="Y70" s="222"/>
      <c r="Z70" s="222"/>
      <c r="AA70" s="222"/>
      <c r="AB70" s="222"/>
      <c r="AC70" s="222"/>
      <c r="AD70" s="222"/>
      <c r="AE70" s="222"/>
      <c r="AF70" s="222"/>
      <c r="AG70" s="222"/>
      <c r="AH70" s="222"/>
      <c r="AI70" s="222"/>
      <c r="AJ70" s="222"/>
    </row>
    <row r="71" spans="1:36" x14ac:dyDescent="0.2">
      <c r="A71" s="222"/>
      <c r="B71" s="222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</row>
    <row r="72" spans="1:36" x14ac:dyDescent="0.2">
      <c r="A72" s="222"/>
      <c r="B72" s="222"/>
      <c r="C72" s="222"/>
      <c r="D72" s="222"/>
      <c r="E72" s="222"/>
      <c r="F72" s="222"/>
      <c r="G72" s="222"/>
      <c r="H72" s="222"/>
      <c r="I72" s="222"/>
      <c r="J72" s="222"/>
      <c r="K72" s="222"/>
      <c r="L72" s="222"/>
      <c r="M72" s="222"/>
      <c r="N72" s="222"/>
      <c r="O72" s="222"/>
      <c r="P72" s="222"/>
      <c r="Q72" s="222"/>
      <c r="R72" s="222"/>
      <c r="S72" s="222"/>
      <c r="T72" s="222"/>
      <c r="U72" s="222"/>
      <c r="V72" s="222"/>
      <c r="W72" s="222"/>
      <c r="X72" s="222"/>
      <c r="Y72" s="222"/>
      <c r="Z72" s="222"/>
      <c r="AA72" s="222"/>
      <c r="AB72" s="222"/>
      <c r="AC72" s="222"/>
      <c r="AD72" s="222"/>
      <c r="AE72" s="222"/>
      <c r="AF72" s="222"/>
      <c r="AG72" s="222"/>
      <c r="AH72" s="222"/>
      <c r="AI72" s="222"/>
      <c r="AJ72" s="222"/>
    </row>
    <row r="73" spans="1:36" x14ac:dyDescent="0.2">
      <c r="A73" s="222"/>
      <c r="B73" s="222"/>
      <c r="C73" s="222"/>
      <c r="D73" s="222"/>
      <c r="E73" s="222"/>
      <c r="F73" s="222"/>
      <c r="G73" s="222"/>
      <c r="H73" s="222"/>
      <c r="I73" s="222"/>
      <c r="J73" s="222"/>
      <c r="K73" s="222"/>
      <c r="L73" s="222"/>
      <c r="M73" s="222"/>
      <c r="N73" s="222"/>
      <c r="O73" s="222"/>
      <c r="P73" s="222"/>
      <c r="Q73" s="222"/>
      <c r="R73" s="222"/>
      <c r="S73" s="222"/>
      <c r="T73" s="222"/>
      <c r="U73" s="222"/>
      <c r="V73" s="222"/>
      <c r="W73" s="222"/>
      <c r="X73" s="222"/>
      <c r="Y73" s="222"/>
      <c r="Z73" s="222"/>
      <c r="AA73" s="222"/>
      <c r="AB73" s="222"/>
      <c r="AC73" s="222"/>
      <c r="AD73" s="222"/>
      <c r="AE73" s="222"/>
      <c r="AF73" s="222"/>
      <c r="AG73" s="222"/>
      <c r="AH73" s="222"/>
      <c r="AI73" s="222"/>
      <c r="AJ73" s="222"/>
    </row>
    <row r="74" spans="1:36" x14ac:dyDescent="0.2">
      <c r="A74" s="222"/>
      <c r="B74" s="222"/>
      <c r="C74" s="222"/>
      <c r="D74" s="222"/>
      <c r="E74" s="222"/>
      <c r="F74" s="222"/>
      <c r="G74" s="222"/>
      <c r="H74" s="222"/>
      <c r="I74" s="222"/>
      <c r="J74" s="222"/>
      <c r="K74" s="222"/>
      <c r="L74" s="222"/>
      <c r="M74" s="222"/>
      <c r="N74" s="222"/>
      <c r="O74" s="222"/>
      <c r="P74" s="222"/>
      <c r="Q74" s="222"/>
      <c r="R74" s="222"/>
      <c r="S74" s="222"/>
      <c r="T74" s="222"/>
      <c r="U74" s="222"/>
      <c r="V74" s="222"/>
      <c r="W74" s="222"/>
      <c r="X74" s="222"/>
      <c r="Y74" s="222"/>
      <c r="Z74" s="222"/>
      <c r="AA74" s="222"/>
      <c r="AB74" s="222"/>
      <c r="AC74" s="222"/>
      <c r="AD74" s="222"/>
      <c r="AE74" s="222"/>
      <c r="AF74" s="222"/>
      <c r="AG74" s="222"/>
      <c r="AH74" s="222"/>
      <c r="AI74" s="222"/>
      <c r="AJ74" s="222"/>
    </row>
    <row r="75" spans="1:36" x14ac:dyDescent="0.2">
      <c r="A75" s="222"/>
      <c r="B75" s="222"/>
      <c r="C75" s="222"/>
      <c r="D75" s="222"/>
      <c r="E75" s="222"/>
      <c r="F75" s="222"/>
      <c r="G75" s="222"/>
      <c r="H75" s="222"/>
      <c r="I75" s="222"/>
      <c r="J75" s="222"/>
      <c r="K75" s="222"/>
      <c r="L75" s="222"/>
      <c r="M75" s="222"/>
      <c r="N75" s="222"/>
      <c r="O75" s="222"/>
      <c r="P75" s="222"/>
      <c r="Q75" s="222"/>
      <c r="R75" s="222"/>
      <c r="S75" s="222"/>
      <c r="T75" s="222"/>
      <c r="U75" s="222"/>
      <c r="V75" s="222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</row>
    <row r="76" spans="1:36" x14ac:dyDescent="0.2">
      <c r="A76" s="222"/>
      <c r="B76" s="222"/>
      <c r="C76" s="222"/>
      <c r="D76" s="222"/>
      <c r="E76" s="222"/>
      <c r="F76" s="222"/>
      <c r="G76" s="222"/>
      <c r="H76" s="222"/>
      <c r="I76" s="222"/>
      <c r="J76" s="222"/>
      <c r="K76" s="222"/>
      <c r="L76" s="222"/>
      <c r="M76" s="222"/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222"/>
      <c r="Y76" s="222"/>
      <c r="Z76" s="222"/>
      <c r="AA76" s="222"/>
      <c r="AB76" s="222"/>
      <c r="AC76" s="222"/>
      <c r="AD76" s="222"/>
      <c r="AE76" s="222"/>
      <c r="AF76" s="222"/>
      <c r="AG76" s="222"/>
      <c r="AH76" s="222"/>
      <c r="AI76" s="222"/>
      <c r="AJ76" s="222"/>
    </row>
    <row r="77" spans="1:36" x14ac:dyDescent="0.2">
      <c r="A77" s="222"/>
      <c r="B77" s="222"/>
      <c r="C77" s="222"/>
      <c r="D77" s="222"/>
      <c r="E77" s="222"/>
      <c r="F77" s="222"/>
      <c r="G77" s="222"/>
      <c r="H77" s="222"/>
      <c r="I77" s="222"/>
      <c r="J77" s="222"/>
      <c r="K77" s="222"/>
      <c r="L77" s="222"/>
      <c r="M77" s="222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222"/>
      <c r="Y77" s="222"/>
      <c r="Z77" s="222"/>
      <c r="AA77" s="222"/>
      <c r="AB77" s="222"/>
      <c r="AC77" s="222"/>
      <c r="AD77" s="222"/>
      <c r="AE77" s="222"/>
      <c r="AF77" s="222"/>
      <c r="AG77" s="222"/>
      <c r="AH77" s="222"/>
      <c r="AI77" s="222"/>
      <c r="AJ77" s="222"/>
    </row>
    <row r="78" spans="1:36" x14ac:dyDescent="0.2">
      <c r="A78" s="222"/>
      <c r="B78" s="222"/>
      <c r="C78" s="222"/>
      <c r="D78" s="222"/>
      <c r="E78" s="222"/>
      <c r="F78" s="222"/>
      <c r="G78" s="222"/>
      <c r="H78" s="222"/>
      <c r="I78" s="222"/>
      <c r="J78" s="222"/>
      <c r="K78" s="222"/>
      <c r="L78" s="222"/>
      <c r="M78" s="222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  <c r="AF78" s="222"/>
      <c r="AG78" s="222"/>
      <c r="AH78" s="222"/>
      <c r="AI78" s="222"/>
      <c r="AJ78" s="222"/>
    </row>
    <row r="79" spans="1:36" x14ac:dyDescent="0.2">
      <c r="A79" s="222"/>
      <c r="B79" s="222"/>
      <c r="C79" s="222"/>
      <c r="D79" s="222"/>
      <c r="E79" s="222"/>
      <c r="F79" s="222"/>
      <c r="G79" s="222"/>
      <c r="H79" s="222"/>
      <c r="I79" s="222"/>
      <c r="J79" s="222"/>
      <c r="K79" s="222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222"/>
      <c r="Y79" s="222"/>
      <c r="Z79" s="222"/>
      <c r="AA79" s="222"/>
      <c r="AB79" s="222"/>
      <c r="AC79" s="222"/>
      <c r="AD79" s="222"/>
      <c r="AE79" s="222"/>
      <c r="AF79" s="222"/>
      <c r="AG79" s="222"/>
      <c r="AH79" s="222"/>
      <c r="AI79" s="222"/>
      <c r="AJ79" s="222"/>
    </row>
    <row r="80" spans="1:36" x14ac:dyDescent="0.2">
      <c r="A80" s="222"/>
      <c r="B80" s="222"/>
      <c r="C80" s="222"/>
      <c r="D80" s="222"/>
      <c r="E80" s="222"/>
      <c r="F80" s="222"/>
      <c r="G80" s="222"/>
      <c r="H80" s="222"/>
      <c r="I80" s="222"/>
      <c r="J80" s="222"/>
      <c r="K80" s="222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222"/>
      <c r="Y80" s="222"/>
      <c r="Z80" s="222"/>
      <c r="AA80" s="222"/>
      <c r="AB80" s="222"/>
      <c r="AC80" s="222"/>
      <c r="AD80" s="222"/>
      <c r="AE80" s="222"/>
      <c r="AF80" s="222"/>
      <c r="AG80" s="222"/>
      <c r="AH80" s="222"/>
      <c r="AI80" s="222"/>
      <c r="AJ80" s="222"/>
    </row>
    <row r="81" spans="1:36" x14ac:dyDescent="0.2">
      <c r="A81" s="222"/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222"/>
      <c r="Y81" s="222"/>
      <c r="Z81" s="222"/>
      <c r="AA81" s="222"/>
      <c r="AB81" s="222"/>
      <c r="AC81" s="222"/>
      <c r="AD81" s="222"/>
      <c r="AE81" s="222"/>
      <c r="AF81" s="222"/>
      <c r="AG81" s="222"/>
      <c r="AH81" s="222"/>
      <c r="AI81" s="222"/>
      <c r="AJ81" s="222"/>
    </row>
    <row r="82" spans="1:36" x14ac:dyDescent="0.2">
      <c r="A82" s="222"/>
      <c r="B82" s="222"/>
      <c r="C82" s="222"/>
      <c r="D82" s="222"/>
      <c r="E82" s="222"/>
      <c r="F82" s="222"/>
      <c r="G82" s="222"/>
      <c r="H82" s="222"/>
      <c r="I82" s="222"/>
      <c r="J82" s="222"/>
      <c r="K82" s="222"/>
      <c r="L82" s="222"/>
      <c r="M82" s="222"/>
      <c r="N82" s="222"/>
      <c r="O82" s="222"/>
      <c r="P82" s="222"/>
      <c r="Q82" s="222"/>
      <c r="R82" s="222"/>
      <c r="S82" s="222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H26" sqref="H26"/>
    </sheetView>
  </sheetViews>
  <sheetFormatPr defaultRowHeight="12.75" x14ac:dyDescent="0.2"/>
  <cols>
    <col min="1" max="1" width="10.28515625" customWidth="1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6"/>
  <sheetViews>
    <sheetView workbookViewId="0">
      <selection activeCell="I18" sqref="I17:I18"/>
    </sheetView>
  </sheetViews>
  <sheetFormatPr defaultRowHeight="12.75" x14ac:dyDescent="0.2"/>
  <cols>
    <col min="1" max="1" width="10.28515625" customWidth="1"/>
    <col min="9" max="9" width="13.28515625" customWidth="1"/>
  </cols>
  <sheetData>
    <row r="1" spans="1:9" ht="17.25" thickBot="1" x14ac:dyDescent="0.25">
      <c r="A1" s="177" t="s">
        <v>154</v>
      </c>
      <c r="B1" s="178" t="s">
        <v>145</v>
      </c>
      <c r="C1" s="178" t="s">
        <v>146</v>
      </c>
      <c r="D1" s="178" t="s">
        <v>147</v>
      </c>
      <c r="E1" s="178" t="s">
        <v>148</v>
      </c>
      <c r="F1" s="179" t="s">
        <v>149</v>
      </c>
      <c r="G1" s="179" t="s">
        <v>150</v>
      </c>
      <c r="H1" s="179" t="s">
        <v>151</v>
      </c>
      <c r="I1" s="180" t="s">
        <v>152</v>
      </c>
    </row>
    <row r="2" spans="1:9" ht="16.5" x14ac:dyDescent="0.25">
      <c r="A2" s="181">
        <v>2014</v>
      </c>
      <c r="B2" s="182">
        <v>600</v>
      </c>
      <c r="C2" s="183">
        <v>35</v>
      </c>
      <c r="D2" s="183">
        <v>250</v>
      </c>
      <c r="E2" s="183">
        <v>50</v>
      </c>
      <c r="F2" s="184"/>
      <c r="G2" s="184"/>
      <c r="H2" s="185">
        <v>300</v>
      </c>
      <c r="I2" s="186">
        <f>SUM(B2:H2)</f>
        <v>1235</v>
      </c>
    </row>
    <row r="3" spans="1:9" ht="16.5" x14ac:dyDescent="0.25">
      <c r="A3" s="181">
        <v>2015</v>
      </c>
      <c r="B3" s="182">
        <v>800</v>
      </c>
      <c r="C3" s="183">
        <v>35</v>
      </c>
      <c r="D3" s="183">
        <v>250</v>
      </c>
      <c r="E3" s="183">
        <v>50</v>
      </c>
      <c r="F3" s="183"/>
      <c r="G3" s="183"/>
      <c r="H3" s="183">
        <v>50</v>
      </c>
      <c r="I3" s="186">
        <f>SUM(B3:H3)</f>
        <v>1185</v>
      </c>
    </row>
    <row r="4" spans="1:9" ht="17.25" thickBot="1" x14ac:dyDescent="0.3">
      <c r="A4" s="187">
        <v>2016</v>
      </c>
      <c r="B4" s="188"/>
      <c r="C4" s="189"/>
      <c r="D4" s="189"/>
      <c r="E4" s="189"/>
      <c r="F4" s="189"/>
      <c r="G4" s="189"/>
      <c r="H4" s="189"/>
      <c r="I4" s="190"/>
    </row>
    <row r="5" spans="1:9" ht="51.75" thickBot="1" x14ac:dyDescent="0.25">
      <c r="A5" s="191" t="s">
        <v>153</v>
      </c>
      <c r="B5" s="192">
        <v>200</v>
      </c>
      <c r="C5" s="193"/>
      <c r="D5" s="193"/>
      <c r="E5" s="193"/>
      <c r="F5" s="193"/>
      <c r="G5" s="193"/>
      <c r="H5" s="193"/>
      <c r="I5" s="193"/>
    </row>
    <row r="6" spans="1:9" ht="13.5" thickTop="1" x14ac:dyDescent="0.2"/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05D5324E-7C26-40DA-B96C-58D749685B8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</vt:i4>
      </vt:variant>
    </vt:vector>
  </HeadingPairs>
  <TitlesOfParts>
    <vt:vector size="15" baseType="lpstr">
      <vt:lpstr>2015</vt:lpstr>
      <vt:lpstr>2016</vt:lpstr>
      <vt:lpstr>2017</vt:lpstr>
      <vt:lpstr>Home</vt:lpstr>
      <vt:lpstr>2019</vt:lpstr>
      <vt:lpstr>.</vt:lpstr>
      <vt:lpstr>Old Leave Calculation</vt:lpstr>
      <vt:lpstr>Audited 15-16</vt:lpstr>
      <vt:lpstr>Audited 16-17</vt:lpstr>
      <vt:lpstr>..</vt:lpstr>
      <vt:lpstr>Visa &amp; RC</vt:lpstr>
      <vt:lpstr>Increment</vt:lpstr>
      <vt:lpstr>'.'!Print_Area</vt:lpstr>
      <vt:lpstr>'2016'!Print_Area</vt:lpstr>
      <vt:lpstr>'Old Leave Calculation'!Print_Area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2010-2019 calendar</dc:title>
  <dc:creator>bejoy</dc:creator>
  <cp:keywords/>
  <cp:lastModifiedBy>Bejoy George</cp:lastModifiedBy>
  <cp:lastPrinted>2017-09-25T06:56:23Z</cp:lastPrinted>
  <dcterms:created xsi:type="dcterms:W3CDTF">2014-03-27T06:40:59Z</dcterms:created>
  <dcterms:modified xsi:type="dcterms:W3CDTF">2017-12-12T08:14:45Z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TC011629001033</vt:lpwstr>
  </property>
</Properties>
</file>